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chyravis/Library/Mobile Documents/com~apple~CloudDocs/01. Ravis Academics/07. My Lectures Subject Wise/18. Financial Modelling /20. Claude Templates/63. Mastering Core Excel Functions/"/>
    </mc:Choice>
  </mc:AlternateContent>
  <xr:revisionPtr revIDLastSave="0" documentId="13_ncr:1_{B5540BE9-27EA-4C44-8B86-EFE8DC83C402}" xr6:coauthVersionLast="47" xr6:coauthVersionMax="47" xr10:uidLastSave="{00000000-0000-0000-0000-000000000000}"/>
  <bookViews>
    <workbookView xWindow="0" yWindow="500" windowWidth="33600" windowHeight="19420" activeTab="6" xr2:uid="{B6D02A92-4BB0-4A40-B80F-1AB3D3CFBF1C}"/>
  </bookViews>
  <sheets>
    <sheet name="Contents" sheetId="11" r:id="rId1"/>
    <sheet name="Core Math" sheetId="1" r:id="rId2"/>
    <sheet name="Conditional Analysis" sheetId="2" r:id="rId3"/>
    <sheet name="Lookup &amp; Reference" sheetId="3" r:id="rId4"/>
    <sheet name="Date &amp; Time" sheetId="4" r:id="rId5"/>
    <sheet name="Financial Modeling" sheetId="5" r:id="rId6"/>
    <sheet name="Statistical" sheetId="6" r:id="rId7"/>
    <sheet name="Text" sheetId="7" r:id="rId8"/>
    <sheet name="Dynamic Arrays" sheetId="8" r:id="rId9"/>
    <sheet name="Error &amp; Info" sheetId="9" r:id="rId10"/>
    <sheet name="Math Extras" sheetId="10" r:id="rId11"/>
    <sheet name="Information &amp; Cel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6" l="1"/>
  <c r="D44" i="6"/>
  <c r="D43" i="6"/>
  <c r="D42" i="6"/>
  <c r="D41" i="6"/>
  <c r="D40" i="6"/>
  <c r="D39" i="6"/>
  <c r="D38" i="6"/>
  <c r="D37" i="6"/>
  <c r="B27" i="6" a="1"/>
  <c r="B27" i="6" s="1"/>
  <c r="D24" i="6"/>
  <c r="D23" i="6"/>
  <c r="D22" i="6"/>
  <c r="D17" i="12"/>
  <c r="D16" i="12"/>
  <c r="D18" i="12"/>
  <c r="D15" i="12"/>
  <c r="D14" i="12"/>
  <c r="D13" i="12"/>
  <c r="D12" i="12"/>
  <c r="D11" i="12"/>
  <c r="D10" i="12"/>
  <c r="D9" i="12" a="1"/>
  <c r="D9" i="12" s="1"/>
  <c r="B6" i="12"/>
  <c r="D37" i="5"/>
  <c r="D36" i="5"/>
  <c r="D35" i="5"/>
  <c r="D34" i="5"/>
  <c r="F39" i="8" a="1"/>
  <c r="F39" i="8" s="1"/>
  <c r="F35" i="8" a="1"/>
  <c r="F35" i="8" s="1"/>
  <c r="D18" i="9"/>
  <c r="D19" i="9"/>
  <c r="D17" i="9"/>
  <c r="D11" i="9"/>
  <c r="F33" i="8" a="1"/>
  <c r="F33" i="8" s="1"/>
  <c r="F32" i="8"/>
  <c r="F26" i="8" a="1"/>
  <c r="F26" i="8" s="1"/>
  <c r="F19" i="8" a="1"/>
  <c r="F19" i="8" s="1"/>
  <c r="F16" i="8" a="1"/>
  <c r="F16" i="8" s="1"/>
  <c r="F9" i="8" a="1"/>
  <c r="F9" i="8" s="1"/>
  <c r="F5" i="8" a="1"/>
  <c r="F5" i="8" s="1"/>
  <c r="D18" i="10"/>
  <c r="D17" i="10"/>
  <c r="D16" i="10"/>
  <c r="D15" i="10"/>
  <c r="D14" i="10"/>
  <c r="D13" i="10"/>
  <c r="D12" i="10"/>
  <c r="D11" i="10"/>
  <c r="D10" i="10"/>
  <c r="D9" i="10"/>
  <c r="D16" i="9"/>
  <c r="D15" i="9"/>
  <c r="D14" i="9"/>
  <c r="D13" i="9"/>
  <c r="D12" i="9"/>
  <c r="D22" i="7"/>
  <c r="D21" i="7"/>
  <c r="D20" i="7"/>
  <c r="D19" i="7"/>
  <c r="D18" i="7"/>
  <c r="D17" i="7"/>
  <c r="D16" i="7"/>
  <c r="D15" i="7"/>
  <c r="D14" i="7"/>
  <c r="D13" i="7"/>
  <c r="D12" i="7"/>
  <c r="D11" i="7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21" i="3"/>
  <c r="D15" i="3"/>
  <c r="D12" i="3"/>
  <c r="D25" i="5"/>
  <c r="D24" i="5"/>
  <c r="D23" i="5"/>
  <c r="D22" i="5"/>
  <c r="D21" i="5"/>
  <c r="D20" i="5"/>
  <c r="D19" i="5"/>
  <c r="D18" i="5"/>
  <c r="D17" i="5"/>
  <c r="D16" i="5"/>
  <c r="D11" i="3"/>
  <c r="D17" i="4"/>
  <c r="D16" i="4"/>
  <c r="D15" i="4"/>
  <c r="D14" i="4"/>
  <c r="D13" i="4"/>
  <c r="D12" i="4"/>
  <c r="D11" i="4"/>
  <c r="D10" i="4"/>
  <c r="D9" i="4"/>
  <c r="D8" i="4"/>
  <c r="D19" i="3"/>
  <c r="D18" i="3"/>
  <c r="D17" i="3"/>
  <c r="D16" i="3"/>
  <c r="D14" i="3"/>
  <c r="D13" i="3"/>
  <c r="D16" i="2"/>
  <c r="D22" i="2"/>
  <c r="D21" i="2"/>
  <c r="D20" i="2"/>
  <c r="D19" i="2"/>
  <c r="D18" i="2"/>
  <c r="D17" i="2"/>
  <c r="D15" i="2"/>
  <c r="D14" i="2" a="1"/>
  <c r="D14" i="2" s="1"/>
  <c r="D13" i="2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<sst xmlns="http://schemas.openxmlformats.org/spreadsheetml/2006/main" count="714" uniqueCount="627">
  <si>
    <t>Core Math Functions</t>
  </si>
  <si>
    <t>Sample data</t>
  </si>
  <si>
    <t>Values</t>
  </si>
  <si>
    <t>Prices</t>
  </si>
  <si>
    <t>Units</t>
  </si>
  <si>
    <t>Function</t>
  </si>
  <si>
    <t>Syntax</t>
  </si>
  <si>
    <t>Live Example</t>
  </si>
  <si>
    <t>Result</t>
  </si>
  <si>
    <t>What it does</t>
  </si>
  <si>
    <t>SUM</t>
  </si>
  <si>
    <t>=SUM(range)</t>
  </si>
  <si>
    <t>=SUM(B4:G4)</t>
  </si>
  <si>
    <t>Adds all numbers in a range</t>
  </si>
  <si>
    <t>AVERAGE</t>
  </si>
  <si>
    <t>=AVERAGE(range)</t>
  </si>
  <si>
    <t>=AVERAGE(B4:G4)</t>
  </si>
  <si>
    <t>Arithmetic mean of values</t>
  </si>
  <si>
    <t>MIN</t>
  </si>
  <si>
    <t>=MIN(range)</t>
  </si>
  <si>
    <t>=MIN(B4:G4)</t>
  </si>
  <si>
    <t>Smallest value</t>
  </si>
  <si>
    <t>MAX</t>
  </si>
  <si>
    <t>=MAX(range)</t>
  </si>
  <si>
    <t>=MAX(B4:G4)</t>
  </si>
  <si>
    <t>Largest value</t>
  </si>
  <si>
    <t>MEDIAN</t>
  </si>
  <si>
    <t>=MEDIAN(range)</t>
  </si>
  <si>
    <t>=MEDIAN(B4:G4)</t>
  </si>
  <si>
    <t>Middle value of the set</t>
  </si>
  <si>
    <t>ROUND</t>
  </si>
  <si>
    <t>=ROUND(num, digits)</t>
  </si>
  <si>
    <t>=ROUND(C5,1)</t>
  </si>
  <si>
    <t>Rounds to set decimals</t>
  </si>
  <si>
    <t>ROUNDUP</t>
  </si>
  <si>
    <t>=ROUNDUP(num, digits)</t>
  </si>
  <si>
    <t>=ROUNDUP(C5,0)</t>
  </si>
  <si>
    <t>Always rounds away from zero</t>
  </si>
  <si>
    <t>ROUNDDOWN</t>
  </si>
  <si>
    <t>=ROUNDDOWN(num, digits)</t>
  </si>
  <si>
    <t>=ROUNDDOWN(C5,0)</t>
  </si>
  <si>
    <t>Always rounds toward zero</t>
  </si>
  <si>
    <t>ABS</t>
  </si>
  <si>
    <t>=ABS(num)</t>
  </si>
  <si>
    <t>=ABS(D4)</t>
  </si>
  <si>
    <t>Absolute (positive) value</t>
  </si>
  <si>
    <t>SUMPRODUCT</t>
  </si>
  <si>
    <t>=SUMPRODUCT(r1, r2)</t>
  </si>
  <si>
    <t>=SUMPRODUCT(B5:D5,B6:D6)</t>
  </si>
  <si>
    <t>Multiplies ranges then sums (revenue from price×units)</t>
  </si>
  <si>
    <t>Conditional Analysis Functions</t>
  </si>
  <si>
    <t>Sample data – transactions</t>
  </si>
  <si>
    <t>Region</t>
  </si>
  <si>
    <t>Rep</t>
  </si>
  <si>
    <t>Amount</t>
  </si>
  <si>
    <t>Status</t>
  </si>
  <si>
    <t>North</t>
  </si>
  <si>
    <t>Alice</t>
  </si>
  <si>
    <t>Won</t>
  </si>
  <si>
    <t>South</t>
  </si>
  <si>
    <t>Bob</t>
  </si>
  <si>
    <t>Lost</t>
  </si>
  <si>
    <t>Carol</t>
  </si>
  <si>
    <t>East</t>
  </si>
  <si>
    <t>IF</t>
  </si>
  <si>
    <t>=IF(test, yes, no)</t>
  </si>
  <si>
    <t>=IF(C5&gt;1000,"Big","Small")</t>
  </si>
  <si>
    <t>Returns one of two values on a test</t>
  </si>
  <si>
    <t>IFS</t>
  </si>
  <si>
    <t>=IFS(t1,v1,t2,v2,...)</t>
  </si>
  <si>
    <t>=IFS(C5&gt;=1500,"A",C5&gt;=1000,"B",TRUE,"C")</t>
  </si>
  <si>
    <t>Tests multiple conditions in order</t>
  </si>
  <si>
    <t>AND</t>
  </si>
  <si>
    <t>=AND(t1, t2, ...)</t>
  </si>
  <si>
    <t>=AND(C5&gt;1000,D5="Won")</t>
  </si>
  <si>
    <t>TRUE only if all tests pass</t>
  </si>
  <si>
    <t>OR</t>
  </si>
  <si>
    <t>=OR(t1, t2, ...)</t>
  </si>
  <si>
    <t>=OR(D6="Won",C6&gt;1000)</t>
  </si>
  <si>
    <t>TRUE if any test passes</t>
  </si>
  <si>
    <t>IFERROR</t>
  </si>
  <si>
    <t>=IFERROR(val, alt)</t>
  </si>
  <si>
    <t>=IFERROR(C5/0,"n/a")</t>
  </si>
  <si>
    <t>Catches any error and returns alt</t>
  </si>
  <si>
    <t>IFNA</t>
  </si>
  <si>
    <t>=IFNA(val, alt)</t>
  </si>
  <si>
    <t>=IFNA(NA(),"missing")</t>
  </si>
  <si>
    <t>Catches only #N/A errors</t>
  </si>
  <si>
    <t>SUMIF</t>
  </si>
  <si>
    <t>=SUMIF(rng, crit, sum)</t>
  </si>
  <si>
    <t>=SUMIF(A5:A10,"North",C5:C10)</t>
  </si>
  <si>
    <t>Sums where one condition is met</t>
  </si>
  <si>
    <t>SUMIFS</t>
  </si>
  <si>
    <t>=SUMIFS(sum, r1, c1,...)</t>
  </si>
  <si>
    <t>=SUMIFS(C5:C10,A5:A10,"North",D5:D10,"Won")</t>
  </si>
  <si>
    <t>Sums on multiple conditions</t>
  </si>
  <si>
    <t>COUNTIF</t>
  </si>
  <si>
    <t>=COUNTIF(rng, crit)</t>
  </si>
  <si>
    <t>=COUNTIF(D5:D10,"Won")</t>
  </si>
  <si>
    <t>Counts cells meeting one condition</t>
  </si>
  <si>
    <t>COUNTIFS</t>
  </si>
  <si>
    <t>=COUNTIFS(r1,c1,...)</t>
  </si>
  <si>
    <t>=COUNTIFS(A5:A10,"North",D5:D10,"Won")</t>
  </si>
  <si>
    <t>Counts on multiple conditions</t>
  </si>
  <si>
    <t>Lookup &amp; Reference Functions</t>
  </si>
  <si>
    <t>Sample data – product table</t>
  </si>
  <si>
    <t>ID</t>
  </si>
  <si>
    <t>Product</t>
  </si>
  <si>
    <t>Price</t>
  </si>
  <si>
    <t>Stock</t>
  </si>
  <si>
    <t>Widget</t>
  </si>
  <si>
    <t>Gadget</t>
  </si>
  <si>
    <t>Gizmo</t>
  </si>
  <si>
    <t>Doohickey</t>
  </si>
  <si>
    <t>XLOOKUP</t>
  </si>
  <si>
    <t>=XLOOKUP(key, lookup, return)</t>
  </si>
  <si>
    <t>=XLOOKUP(103,A5:A8,B5:B8)</t>
  </si>
  <si>
    <t>Modern flexible lookup (any direction)</t>
  </si>
  <si>
    <t>VLOOKUP</t>
  </si>
  <si>
    <t>=VLOOKUP(key, table, col, FALSE)</t>
  </si>
  <si>
    <t>=VLOOKUP(102,A5:D8,3,FALSE)</t>
  </si>
  <si>
    <t>Looks up by leftmost column</t>
  </si>
  <si>
    <t>HLOOKUP</t>
  </si>
  <si>
    <t>=HLOOKUP(key, table, row, FALSE)</t>
  </si>
  <si>
    <t>=HLOOKUP("Price",A4:D8,4,FALSE)</t>
  </si>
  <si>
    <t>Looks up across a header row</t>
  </si>
  <si>
    <t>INDEX</t>
  </si>
  <si>
    <t>=INDEX(range, row, col)</t>
  </si>
  <si>
    <t>=INDEX(A5:D8,3,2)</t>
  </si>
  <si>
    <t>Returns value at row/col position</t>
  </si>
  <si>
    <t>MATCH</t>
  </si>
  <si>
    <t>=MATCH(key, range, 0)</t>
  </si>
  <si>
    <t>=MATCH("Gizmo",B5:B8,0)</t>
  </si>
  <si>
    <t>Returns position of a value</t>
  </si>
  <si>
    <t>XMATCH</t>
  </si>
  <si>
    <t>=XMATCH(key, range)</t>
  </si>
  <si>
    <t>=XMATCH(45,C5:C8)</t>
  </si>
  <si>
    <t>Modern position lookup</t>
  </si>
  <si>
    <t>INDEX+MATCH</t>
  </si>
  <si>
    <t>=INDEX(ret, MATCH(key, lookup,0))</t>
  </si>
  <si>
    <t>=INDEX(C5:C8,MATCH("Gadget",B5:B8,0))</t>
  </si>
  <si>
    <t>Classic 2-way flexible lookup</t>
  </si>
  <si>
    <t>OFFSET</t>
  </si>
  <si>
    <t>=OFFSET(ref, rows, cols)</t>
  </si>
  <si>
    <t>=OFFSET(A4,2,2)</t>
  </si>
  <si>
    <t>Returns a cell offset from a ref</t>
  </si>
  <si>
    <t>CHOOSE</t>
  </si>
  <si>
    <t>=CHOOSE(index, v1, v2,...)</t>
  </si>
  <si>
    <t>=CHOOSE(2,"Q1","Q2","Q3")</t>
  </si>
  <si>
    <t>Picks an item by number</t>
  </si>
  <si>
    <t>INDIRECT</t>
  </si>
  <si>
    <t>INDIRECT("text ref")</t>
  </si>
  <si>
    <t>INDIRECT("B6") returns Gadget</t>
  </si>
  <si>
    <t>Turns text into a cell reference (shown as text – live formula restricted in this add-in)</t>
  </si>
  <si>
    <t>ADDRESS</t>
  </si>
  <si>
    <t>=ADDRESS(row, col)</t>
  </si>
  <si>
    <t>=ADDRESS(5,2)</t>
  </si>
  <si>
    <t>Builds a cell address as text</t>
  </si>
  <si>
    <t>Date &amp; Time Functions</t>
  </si>
  <si>
    <t>Start date</t>
  </si>
  <si>
    <t>End date</t>
  </si>
  <si>
    <t>TODAY</t>
  </si>
  <si>
    <t>=TODAY()</t>
  </si>
  <si>
    <t>Current date (updates daily)</t>
  </si>
  <si>
    <t>NOW</t>
  </si>
  <si>
    <t>=NOW()</t>
  </si>
  <si>
    <t>Current date and time</t>
  </si>
  <si>
    <t>DATE</t>
  </si>
  <si>
    <t>=DATE(y, m, d)</t>
  </si>
  <si>
    <t>=DATE(2025,12,31)</t>
  </si>
  <si>
    <t>Builds a date from parts</t>
  </si>
  <si>
    <t>YEAR</t>
  </si>
  <si>
    <t>=YEAR(date)</t>
  </si>
  <si>
    <t>=YEAR(B5)</t>
  </si>
  <si>
    <t>Extracts the year</t>
  </si>
  <si>
    <t>MONTH</t>
  </si>
  <si>
    <t>=MONTH(date)</t>
  </si>
  <si>
    <t>=MONTH(B5)</t>
  </si>
  <si>
    <t>Extracts the month (1-12)</t>
  </si>
  <si>
    <t>DAY</t>
  </si>
  <si>
    <t>=DAY(date)</t>
  </si>
  <si>
    <t>=DAY(B5)</t>
  </si>
  <si>
    <t>Extracts the day of month</t>
  </si>
  <si>
    <t>EOMONTH</t>
  </si>
  <si>
    <t>=EOMONTH(date, months)</t>
  </si>
  <si>
    <t>=EOMONTH(B4,0)</t>
  </si>
  <si>
    <t>Last day of the month</t>
  </si>
  <si>
    <t>EDATE</t>
  </si>
  <si>
    <t>=EDATE(date, months)</t>
  </si>
  <si>
    <t>=EDATE(B4,3)</t>
  </si>
  <si>
    <t>Date N months before/after</t>
  </si>
  <si>
    <t>NETWORKDAYS</t>
  </si>
  <si>
    <t>=NETWORKDAYS(start, end)</t>
  </si>
  <si>
    <t>=NETWORKDAYS(B4,B5)</t>
  </si>
  <si>
    <t>Working days between dates</t>
  </si>
  <si>
    <t>YEARFRAC</t>
  </si>
  <si>
    <t>=YEARFRAC(start, end)</t>
  </si>
  <si>
    <t>=YEARFRAC(B4,B5)</t>
  </si>
  <si>
    <t>Fraction of a year between dates</t>
  </si>
  <si>
    <t>Financial Modeling Functions</t>
  </si>
  <si>
    <t>Assumptions</t>
  </si>
  <si>
    <t>Annual rate</t>
  </si>
  <si>
    <t>Periods (years)</t>
  </si>
  <si>
    <t>Loan / PV</t>
  </si>
  <si>
    <t>Cash flows</t>
  </si>
  <si>
    <t>Date</t>
  </si>
  <si>
    <t>Flow</t>
  </si>
  <si>
    <t>PV</t>
  </si>
  <si>
    <t>=PV(rate, nper, pmt)</t>
  </si>
  <si>
    <t>=PV(B4,B5,-25000)</t>
  </si>
  <si>
    <t>Present value of a stream</t>
  </si>
  <si>
    <t>FV</t>
  </si>
  <si>
    <t>=FV(rate, nper, pmt, pv)</t>
  </si>
  <si>
    <t>=FV(B4,B5,0,-B6)</t>
  </si>
  <si>
    <t>Future value of an investment</t>
  </si>
  <si>
    <t>PMT</t>
  </si>
  <si>
    <t>=PMT(rate, nper, pv)</t>
  </si>
  <si>
    <t>=PMT(B4,B5,B6)</t>
  </si>
  <si>
    <t>Periodic loan payment</t>
  </si>
  <si>
    <t>IPMT</t>
  </si>
  <si>
    <t>=IPMT(rate, per, nper, pv)</t>
  </si>
  <si>
    <t>=IPMT(B4,1,B5,B6)</t>
  </si>
  <si>
    <t>Interest part of a payment</t>
  </si>
  <si>
    <t>PPMT</t>
  </si>
  <si>
    <t>=PPMT(rate, per, nper, pv)</t>
  </si>
  <si>
    <t>=PPMT(B4,1,B5,B6)</t>
  </si>
  <si>
    <t>Principal part of a payment</t>
  </si>
  <si>
    <t>NPV</t>
  </si>
  <si>
    <t>=NPV(rate, values)</t>
  </si>
  <si>
    <t>=NPV(B4,B11:B13)+B10</t>
  </si>
  <si>
    <t>NPV of periodic cash flows</t>
  </si>
  <si>
    <t>XNPV</t>
  </si>
  <si>
    <t>=XNPV(rate, values, dates)</t>
  </si>
  <si>
    <t>=XNPV(B4,B10:B13,A10:A13)</t>
  </si>
  <si>
    <t>NPV for irregular-dated flows</t>
  </si>
  <si>
    <t>IRR</t>
  </si>
  <si>
    <t>=IRR(values)</t>
  </si>
  <si>
    <t>=IRR(B10:B13)</t>
  </si>
  <si>
    <t>Return that makes NPV = 0</t>
  </si>
  <si>
    <t>XIRR</t>
  </si>
  <si>
    <t>=XIRR(values, dates)</t>
  </si>
  <si>
    <t>=XIRR(B10:B13,A10:A13)</t>
  </si>
  <si>
    <t>IRR for irregular-dated flows</t>
  </si>
  <si>
    <t>RATE</t>
  </si>
  <si>
    <t>=RATE(nper, pmt, pv)</t>
  </si>
  <si>
    <t>=RATE(B5,-25000,B6)</t>
  </si>
  <si>
    <t>Implied periodic rate</t>
  </si>
  <si>
    <t>Statistical Functions</t>
  </si>
  <si>
    <t>Sample data – monthly returns (%) and revenue</t>
  </si>
  <si>
    <t>Return %</t>
  </si>
  <si>
    <t>Revenue</t>
  </si>
  <si>
    <t>COUNT</t>
  </si>
  <si>
    <t>=COUNT(range)</t>
  </si>
  <si>
    <t>=COUNT(B4:I4)</t>
  </si>
  <si>
    <t>Counts numeric cells</t>
  </si>
  <si>
    <t>COUNTA</t>
  </si>
  <si>
    <t>=COUNTA(range)</t>
  </si>
  <si>
    <t>=COUNTA(A4:I4)</t>
  </si>
  <si>
    <t>Counts non-empty cells</t>
  </si>
  <si>
    <t>STDEV.S</t>
  </si>
  <si>
    <t>=STDEV.S(range)</t>
  </si>
  <si>
    <t>=STDEV.S(B4:I4)</t>
  </si>
  <si>
    <t>Sample standard deviation</t>
  </si>
  <si>
    <t>STDEV.P</t>
  </si>
  <si>
    <t>=STDEV.P(range)</t>
  </si>
  <si>
    <t>=STDEV.P(B4:I4)</t>
  </si>
  <si>
    <t>Population standard deviation</t>
  </si>
  <si>
    <t>VAR.S</t>
  </si>
  <si>
    <t>=VAR.S(range)</t>
  </si>
  <si>
    <t>=VAR.S(B4:I4)</t>
  </si>
  <si>
    <t>Sample variance</t>
  </si>
  <si>
    <t>PERCENTILE.INC</t>
  </si>
  <si>
    <t>=PERCENTILE.INC(range, k)</t>
  </si>
  <si>
    <t>=PERCENTILE.INC(B5:I5,0.9)</t>
  </si>
  <si>
    <t>Value at the kth percentile</t>
  </si>
  <si>
    <t>QUARTILE.INC</t>
  </si>
  <si>
    <t>=QUARTILE.INC(range, q)</t>
  </si>
  <si>
    <t>=QUARTILE.INC(B5:I5,3)</t>
  </si>
  <si>
    <t>Returns a quartile (0-4)</t>
  </si>
  <si>
    <t>RANK.EQ</t>
  </si>
  <si>
    <t>=RANK.EQ(num, range)</t>
  </si>
  <si>
    <t>=RANK.EQ(F4,B4:I4)</t>
  </si>
  <si>
    <t>Rank of a value in a set</t>
  </si>
  <si>
    <t>LARGE</t>
  </si>
  <si>
    <t>=LARGE(range, k)</t>
  </si>
  <si>
    <t>=LARGE(B4:I4,2)</t>
  </si>
  <si>
    <t>kth largest value</t>
  </si>
  <si>
    <t>SMALL</t>
  </si>
  <si>
    <t>=SMALL(range, k)</t>
  </si>
  <si>
    <t>=SMALL(B4:I4,2)</t>
  </si>
  <si>
    <t>kth smallest value</t>
  </si>
  <si>
    <t>MODE.SNGL</t>
  </si>
  <si>
    <t>=MODE.SNGL(range)</t>
  </si>
  <si>
    <t>=MODE.SNGL(B4:I4,B4:I4)</t>
  </si>
  <si>
    <t>Most frequent value (n/a if none repeat)</t>
  </si>
  <si>
    <t>CORREL</t>
  </si>
  <si>
    <t>=CORREL(r1, r2)</t>
  </si>
  <si>
    <t>=CORREL(B4:I4,B5:I5)</t>
  </si>
  <si>
    <t>Correlation between two series</t>
  </si>
  <si>
    <t>SLOPE</t>
  </si>
  <si>
    <t>=SLOPE(y, x)</t>
  </si>
  <si>
    <t>=SLOPE(B5:I5,B4:I4)</t>
  </si>
  <si>
    <t>Slope of a linear regression</t>
  </si>
  <si>
    <t>FORECAST.LINEAR</t>
  </si>
  <si>
    <t>=FORECAST.LINEAR(x, y, x_range)</t>
  </si>
  <si>
    <t>=FORECAST.LINEAR(3,B5:I5,B4:I4)</t>
  </si>
  <si>
    <t>Predicts a value from a trend</t>
  </si>
  <si>
    <t>Text Functions</t>
  </si>
  <si>
    <t>Company</t>
  </si>
  <si>
    <t xml:space="preserve">  Acme Corp  </t>
  </si>
  <si>
    <t>Ticker</t>
  </si>
  <si>
    <t>acme</t>
  </si>
  <si>
    <t>Amount text</t>
  </si>
  <si>
    <t>Full name</t>
  </si>
  <si>
    <t>Smith, Jane</t>
  </si>
  <si>
    <t>Number</t>
  </si>
  <si>
    <t>TRIM</t>
  </si>
  <si>
    <t>=TRIM(text)</t>
  </si>
  <si>
    <t>=TRIM(B4)</t>
  </si>
  <si>
    <t>Removes extra spaces</t>
  </si>
  <si>
    <t>LEN</t>
  </si>
  <si>
    <t>=LEN(text)</t>
  </si>
  <si>
    <t>=LEN(TRIM(B4))</t>
  </si>
  <si>
    <t>Counts characters</t>
  </si>
  <si>
    <t>LEFT</t>
  </si>
  <si>
    <t>=LEFT(text, n)</t>
  </si>
  <si>
    <t>=LEFT(B7,5)</t>
  </si>
  <si>
    <t>First N characters</t>
  </si>
  <si>
    <t>RIGHT</t>
  </si>
  <si>
    <t>=RIGHT(text, n)</t>
  </si>
  <si>
    <t>=RIGHT(B6,2)</t>
  </si>
  <si>
    <t>Last N characters</t>
  </si>
  <si>
    <t>MID</t>
  </si>
  <si>
    <t>=MID(text, start, n)</t>
  </si>
  <si>
    <t>=MID(B7,8,4)</t>
  </si>
  <si>
    <t>Characters from the middle</t>
  </si>
  <si>
    <t>UPPER</t>
  </si>
  <si>
    <t>=UPPER(text)</t>
  </si>
  <si>
    <t>=UPPER(B5)</t>
  </si>
  <si>
    <t>Converts to UPPERCASE</t>
  </si>
  <si>
    <t>PROPER</t>
  </si>
  <si>
    <t>=PROPER(text)</t>
  </si>
  <si>
    <t>=PROPER(B5)</t>
  </si>
  <si>
    <t>Capitalises Each Word</t>
  </si>
  <si>
    <t>FIND</t>
  </si>
  <si>
    <t>=FIND(find, within)</t>
  </si>
  <si>
    <t>=FIND(",",B7)</t>
  </si>
  <si>
    <t>Position of text (case-sensitive)</t>
  </si>
  <si>
    <t>SUBSTITUTE</t>
  </si>
  <si>
    <t>=SUBSTITUTE(text, old, new)</t>
  </si>
  <si>
    <t>=SUBSTITUTE(B4,"Corp","Inc")</t>
  </si>
  <si>
    <t>Replaces text with new text</t>
  </si>
  <si>
    <t>TEXTJOIN</t>
  </si>
  <si>
    <t>=TEXTJOIN(delim, ignore, items)</t>
  </si>
  <si>
    <t>=TEXTJOIN(" - ",TRUE,B5,B6)</t>
  </si>
  <si>
    <t>Joins text with a delimiter</t>
  </si>
  <si>
    <t>TEXT</t>
  </si>
  <si>
    <t>=TEXT(value, format)</t>
  </si>
  <si>
    <t>=TEXT(B8,"0.0%")</t>
  </si>
  <si>
    <t>Formats a number as text</t>
  </si>
  <si>
    <t>VALUE</t>
  </si>
  <si>
    <t>=VALUE(text)</t>
  </si>
  <si>
    <t>=VALUE(B6)</t>
  </si>
  <si>
    <t>Converts number-text to a number</t>
  </si>
  <si>
    <t>Dynamic Array Functions</t>
  </si>
  <si>
    <t>Note: these spill into the cells below the result – keep adjacent cells clear</t>
  </si>
  <si>
    <t>Sales</t>
  </si>
  <si>
    <t>West</t>
  </si>
  <si>
    <t>Result (spills down)</t>
  </si>
  <si>
    <t>UNIQUE</t>
  </si>
  <si>
    <t>=UNIQUE(A5:A10)</t>
  </si>
  <si>
    <t>Distinct values from a list</t>
  </si>
  <si>
    <t>SORT</t>
  </si>
  <si>
    <t>=SORT(B5:B10,1,-1)</t>
  </si>
  <si>
    <t>Sorts a range (here descending)</t>
  </si>
  <si>
    <t>FILTER</t>
  </si>
  <si>
    <t>=FILTER(B5:B10,A5:A10="North")</t>
  </si>
  <si>
    <t>Keeps rows matching a condition</t>
  </si>
  <si>
    <t>SORTBY</t>
  </si>
  <si>
    <t>=SORTBY(A5:A10,B5:B10,-1)</t>
  </si>
  <si>
    <t>Sorts one range by another</t>
  </si>
  <si>
    <t>SEQUENCE</t>
  </si>
  <si>
    <t>=SEQUENCE(5)</t>
  </si>
  <si>
    <t>Generates a list of numbers</t>
  </si>
  <si>
    <t>LET</t>
  </si>
  <si>
    <t>=LET(t,SUM(B5:B10),t/COUNT(B5:B10))</t>
  </si>
  <si>
    <t>Names a value/calc once, reuses it</t>
  </si>
  <si>
    <t>LAMBDA</t>
  </si>
  <si>
    <t>=LAMBDA(x,x*1.2)(B5)</t>
  </si>
  <si>
    <t>Builds a reusable custom function</t>
  </si>
  <si>
    <t>Error &amp; Info Functions</t>
  </si>
  <si>
    <t>Value A</t>
  </si>
  <si>
    <t>Value B</t>
  </si>
  <si>
    <t>Text</t>
  </si>
  <si>
    <t>N/A</t>
  </si>
  <si>
    <t>Blank below</t>
  </si>
  <si>
    <t>Series</t>
  </si>
  <si>
    <t>ISERROR</t>
  </si>
  <si>
    <t>=ISERROR(value)</t>
  </si>
  <si>
    <t>=ISERROR(B4/B5)</t>
  </si>
  <si>
    <t>TRUE if value is any error</t>
  </si>
  <si>
    <t>ISNUMBER</t>
  </si>
  <si>
    <t>=ISNUMBER(value)</t>
  </si>
  <si>
    <t>=ISNUMBER(B4)</t>
  </si>
  <si>
    <t>TRUE if value is a number</t>
  </si>
  <si>
    <t>ISTEXT</t>
  </si>
  <si>
    <t>=ISTEXT(value)</t>
  </si>
  <si>
    <t>=ISTEXT(B6)</t>
  </si>
  <si>
    <t>TRUE if value is text</t>
  </si>
  <si>
    <t>ISBLANK</t>
  </si>
  <si>
    <t>=ISBLANK(value)</t>
  </si>
  <si>
    <t>=ISBLANK(A7)</t>
  </si>
  <si>
    <t>TRUE if the cell is empty</t>
  </si>
  <si>
    <t>ISNA</t>
  </si>
  <si>
    <t>=ISNA(value)</t>
  </si>
  <si>
    <t>=ISNA(NA())</t>
  </si>
  <si>
    <t>TRUE only for #N/A errors</t>
  </si>
  <si>
    <t>NA</t>
  </si>
  <si>
    <t>=NA()</t>
  </si>
  <si>
    <t>Deliberately returns #N/A</t>
  </si>
  <si>
    <t>=IFERROR(value, alt)</t>
  </si>
  <si>
    <t>=IFERROR(B4/B5,"div by zero")</t>
  </si>
  <si>
    <t>Returns alt if value errors</t>
  </si>
  <si>
    <t>AGGREGATE</t>
  </si>
  <si>
    <t>=AGGREGATE(fn, opts, range)</t>
  </si>
  <si>
    <t>=AGGREGATE(9,6,B8:E8)</t>
  </si>
  <si>
    <t>Aggregates, ignoring errors/hidden (9=SUM)</t>
  </si>
  <si>
    <t>SUBTOTAL</t>
  </si>
  <si>
    <t>=SUBTOTAL(fn, range)</t>
  </si>
  <si>
    <t>=SUBTOTAL(9,B8:E8)</t>
  </si>
  <si>
    <t>Aggregates, ignoring filtered rows (9=SUM)</t>
  </si>
  <si>
    <t>Math Extras Functions</t>
  </si>
  <si>
    <t>Value</t>
  </si>
  <si>
    <t>Base</t>
  </si>
  <si>
    <t>Exponent</t>
  </si>
  <si>
    <t>MROUND</t>
  </si>
  <si>
    <t>=MROUND(num, multiple)</t>
  </si>
  <si>
    <t>=MROUND(B4,5)</t>
  </si>
  <si>
    <t>Rounds to nearest multiple</t>
  </si>
  <si>
    <t>CEILING</t>
  </si>
  <si>
    <t>=CEILING(num, multiple)</t>
  </si>
  <si>
    <t>=CEILING(B4,10)</t>
  </si>
  <si>
    <t>Rounds up to a multiple</t>
  </si>
  <si>
    <t>FLOOR</t>
  </si>
  <si>
    <t>=FLOOR(num, multiple)</t>
  </si>
  <si>
    <t>=FLOOR(B4,10)</t>
  </si>
  <si>
    <t>Rounds down to a multiple</t>
  </si>
  <si>
    <t>INT</t>
  </si>
  <si>
    <t>=INT(num)</t>
  </si>
  <si>
    <t>=INT(B4)</t>
  </si>
  <si>
    <t>Integer part (rounds down)</t>
  </si>
  <si>
    <t>MOD</t>
  </si>
  <si>
    <t>=MOD(num, divisor)</t>
  </si>
  <si>
    <t>=MOD(B4,5)</t>
  </si>
  <si>
    <t>Remainder after division</t>
  </si>
  <si>
    <t>POWER</t>
  </si>
  <si>
    <t>=POWER(num, power)</t>
  </si>
  <si>
    <t>=POWER(B5,B6)</t>
  </si>
  <si>
    <t>Raises a number to a power</t>
  </si>
  <si>
    <t>SQRT</t>
  </si>
  <si>
    <t>=SQRT(num)</t>
  </si>
  <si>
    <t>=SQRT(B5)</t>
  </si>
  <si>
    <t>Square root</t>
  </si>
  <si>
    <t>RANDBETWEEN</t>
  </si>
  <si>
    <t>=RANDBETWEEN(low, high)</t>
  </si>
  <si>
    <t>=RANDBETWEEN(1,100)</t>
  </si>
  <si>
    <t>Random integer in a range</t>
  </si>
  <si>
    <t>SUMSQ</t>
  </si>
  <si>
    <t>=SUMSQ(values)</t>
  </si>
  <si>
    <t>=SUMSQ(B5,B6)</t>
  </si>
  <si>
    <t>Sum of squares</t>
  </si>
  <si>
    <t>GCD</t>
  </si>
  <si>
    <t>=GCD(a, b)</t>
  </si>
  <si>
    <t>=GCD(24,B5)</t>
  </si>
  <si>
    <t>Greatest common divisor</t>
  </si>
  <si>
    <t>TAKE</t>
  </si>
  <si>
    <t>=TAKE(B5:B10,3)</t>
  </si>
  <si>
    <t>First N rows (or cols) of a range</t>
  </si>
  <si>
    <t>DROP</t>
  </si>
  <si>
    <t>=DROP(B5:B10,3)</t>
  </si>
  <si>
    <t>Removes first N rows (or cols)</t>
  </si>
  <si>
    <t>Excel Functions for Finance – Cheat Sheet</t>
  </si>
  <si>
    <t>Click any category to jump to its tab</t>
  </si>
  <si>
    <t>Category</t>
  </si>
  <si>
    <t>Functions covered</t>
  </si>
  <si>
    <t>SUM, AVERAGE, MIN, MAX, MEDIAN, ROUND/UP/DOWN, ABS, SUMPRODUCT</t>
  </si>
  <si>
    <t>IF, IFS, AND, OR, IFERROR, IFNA, SUMIF(S), COUNTIF(S)</t>
  </si>
  <si>
    <t>XLOOKUP, VLOOKUP, HLOOKUP, INDEX, MATCH, XMATCH, OFFSET, CHOOSE, ADDRESS, etc.</t>
  </si>
  <si>
    <t>TODAY, NOW, DATE, YEAR, MONTH, DAY, EOMONTH, EDATE, NETWORKDAYS, YEARFRAC</t>
  </si>
  <si>
    <t>COUNT(A), STDEV/VAR, PERCENTILE, QUARTILE, RANK, LARGE/SMALL, MODE, CORREL, SLOPE, FORECAST</t>
  </si>
  <si>
    <t>TRIM, LEN, LEFT/RIGHT/MID, UPPER, PROPER, FIND, SUBSTITUTE, TEXTJOIN, TEXT, VALUE</t>
  </si>
  <si>
    <t>UNIQUE, SORT, FILTER, SORTBY, SEQUENCE, LET, LAMBDA, TAKE, DROP</t>
  </si>
  <si>
    <t>ISERROR, ISNUMBER, ISTEXT, ISBLANK, ISNA, NA, IFERROR, AGGREGATE, SUBTOTAL</t>
  </si>
  <si>
    <t>MROUND, CEILING, FLOOR, INT, MOD, POWER, SQRT, RANDBETWEEN, SUMSQ, GCD</t>
  </si>
  <si>
    <t>1. Core Math</t>
  </si>
  <si>
    <t>2. Conditional Analysis</t>
  </si>
  <si>
    <t>3. Lookup &amp; Reference</t>
  </si>
  <si>
    <t>4. Date &amp; Time</t>
  </si>
  <si>
    <t>5. Financial Modeling</t>
  </si>
  <si>
    <t>6. Statistical</t>
  </si>
  <si>
    <t>7. Text</t>
  </si>
  <si>
    <t>8. Dynamic Arrays</t>
  </si>
  <si>
    <t>9. Error &amp; Info</t>
  </si>
  <si>
    <t>10. Math Extras</t>
  </si>
  <si>
    <t>Depreciation – asset assumptions</t>
  </si>
  <si>
    <t>Cost</t>
  </si>
  <si>
    <t>Salvage</t>
  </si>
  <si>
    <t>Life (years)</t>
  </si>
  <si>
    <t>Period</t>
  </si>
  <si>
    <t>SLN</t>
  </si>
  <si>
    <t>=SLN(cost, salvage, life)</t>
  </si>
  <si>
    <t>=SLN(B28,B29,B30)</t>
  </si>
  <si>
    <t>Straight-line depreciation per period</t>
  </si>
  <si>
    <t>DB</t>
  </si>
  <si>
    <t>=DB(cost, salvage, life, period)</t>
  </si>
  <si>
    <t>=DB(B28,B29,B30,B31)</t>
  </si>
  <si>
    <t>Declining-balance (fixed-rate) method</t>
  </si>
  <si>
    <t>DDB</t>
  </si>
  <si>
    <t>=DDB(cost, salvage, life, period)</t>
  </si>
  <si>
    <t>=DDB(B28,B29,B30,B31)</t>
  </si>
  <si>
    <t>Double-declining-balance method</t>
  </si>
  <si>
    <t>SYD</t>
  </si>
  <si>
    <t>=SYD(cost, salvage, life, period)</t>
  </si>
  <si>
    <t>=SYD(B28,B29,B30,B31)</t>
  </si>
  <si>
    <t>Sum-of-years'-digits method</t>
  </si>
  <si>
    <t>Information &amp; Cell Functions</t>
  </si>
  <si>
    <t>Hello</t>
  </si>
  <si>
    <t>Formula cell</t>
  </si>
  <si>
    <t>CELL</t>
  </si>
  <si>
    <t>=CELL(info_type, ref)</t>
  </si>
  <si>
    <t>=CELL("type",B5)</t>
  </si>
  <si>
    <t>Info about a cell (type/address/etc.)</t>
  </si>
  <si>
    <t>TYPE</t>
  </si>
  <si>
    <t>=TYPE(value)</t>
  </si>
  <si>
    <t>=TYPE(B4)</t>
  </si>
  <si>
    <t>1=number, 2=text, 4=logical, 16=error</t>
  </si>
  <si>
    <t>SHEET</t>
  </si>
  <si>
    <t>=SHEET(ref)</t>
  </si>
  <si>
    <t>=SHEET(A1)</t>
  </si>
  <si>
    <t>Sheet number of a reference</t>
  </si>
  <si>
    <t>SHEETS</t>
  </si>
  <si>
    <t>=SHEETS()</t>
  </si>
  <si>
    <t>Count of sheets in the workbook</t>
  </si>
  <si>
    <t>ROW</t>
  </si>
  <si>
    <t>=ROW(ref)</t>
  </si>
  <si>
    <t>=ROW(B13)</t>
  </si>
  <si>
    <t>Row number of a reference</t>
  </si>
  <si>
    <t>COLUMN</t>
  </si>
  <si>
    <t>=COLUMN(ref)</t>
  </si>
  <si>
    <t>=COLUMN(B14)</t>
  </si>
  <si>
    <t>Column number of a reference</t>
  </si>
  <si>
    <t>ISFORMULA</t>
  </si>
  <si>
    <t>=ISFORMULA(ref)</t>
  </si>
  <si>
    <t>=ISFORMULA(B6)</t>
  </si>
  <si>
    <t>TRUE if the cell holds a formula</t>
  </si>
  <si>
    <t>ISEVEN</t>
  </si>
  <si>
    <t>=ISEVEN(num)</t>
  </si>
  <si>
    <t>TRUE if the number is even</t>
  </si>
  <si>
    <t>ISODD</t>
  </si>
  <si>
    <t>=ISODD(num)</t>
  </si>
  <si>
    <t>TRUE if the number is odd</t>
  </si>
  <si>
    <t>N</t>
  </si>
  <si>
    <t>=N(value)</t>
  </si>
  <si>
    <t>=N(B4)</t>
  </si>
  <si>
    <t>Converts a value to a number</t>
  </si>
  <si>
    <t>=ISEVEN(B4)</t>
  </si>
  <si>
    <t>=ISODD(B4)</t>
  </si>
  <si>
    <t>PV, FV, PMT, IPMT, PPMT, NPV, XNPV, IRR, XIRR, RATE + SLN, DB, DDB, SYD (depreciation)</t>
  </si>
  <si>
    <t>CELL, TYPE, SHEET, SHEETS, ROW, COLUMN, ISFORMULA, ISEVEN, ISODD, N</t>
  </si>
  <si>
    <t>11. Information &amp; Cell</t>
  </si>
  <si>
    <t>LINEST</t>
  </si>
  <si>
    <t>=LINEST(y, x)</t>
  </si>
  <si>
    <t>=INDEX(LINEST(B5:I5,B4:I4),1,1)</t>
  </si>
  <si>
    <t>Regression coefficients (here: slope)</t>
  </si>
  <si>
    <t>LINEST – intercept</t>
  </si>
  <si>
    <t>=INDEX(LINEST(y,x),1,2)</t>
  </si>
  <si>
    <t>=INDEX(LINEST(B5:I5,B4:I4),1,2)</t>
  </si>
  <si>
    <t>Y-intercept of the regression line</t>
  </si>
  <si>
    <t>LINEST – R²</t>
  </si>
  <si>
    <t>=INDEX(LINEST(y,x,,TRUE),3,1)</t>
  </si>
  <si>
    <t>=INDEX(LINEST(B5:I5,B4:I4,TRUE,TRUE),3,1)</t>
  </si>
  <si>
    <t>R² – goodness of fit (stats=TRUE)</t>
  </si>
  <si>
    <t>LINEST – full array (spills below →)</t>
  </si>
  <si>
    <t>5×2 stats block: row1 slope/intercept, row3 R²/se, etc.</t>
  </si>
  <si>
    <t>Full LINEST output</t>
  </si>
  <si>
    <t>← slope | intercept</t>
  </si>
  <si>
    <t>← std err of slope | intercept</t>
  </si>
  <si>
    <t>← R² | std err of y estimate</t>
  </si>
  <si>
    <t>← F statistic | degrees of freedom</t>
  </si>
  <si>
    <t>← regression SS | residual SS</t>
  </si>
  <si>
    <t>Statistical Distribution Functions</t>
  </si>
  <si>
    <t>NORM.DIST</t>
  </si>
  <si>
    <t>=NORM.DIST(x, mean, sd, cum)</t>
  </si>
  <si>
    <t>=NORM.DIST(160,AVERAGE(B5:I5),STDEV.S(B5:I5),TRUE)</t>
  </si>
  <si>
    <t>Probability a value ≤ x (cumulative)</t>
  </si>
  <si>
    <t>NORM.INV</t>
  </si>
  <si>
    <t>=NORM.INV(prob, mean, sd)</t>
  </si>
  <si>
    <t>=NORM.INV(0.9,AVERAGE(B5:I5),STDEV.S(B5:I5))</t>
  </si>
  <si>
    <t>Value at a given cumulative probability</t>
  </si>
  <si>
    <t>NORM.S.DIST</t>
  </si>
  <si>
    <t>=NORM.S.DIST(z, cum)</t>
  </si>
  <si>
    <t>=NORM.S.DIST(1.5,TRUE)</t>
  </si>
  <si>
    <t>Standard normal probability for a z-score</t>
  </si>
  <si>
    <t>NORM.S.INV</t>
  </si>
  <si>
    <t>=NORM.S.INV(prob)</t>
  </si>
  <si>
    <t>=NORM.S.INV(0.975)</t>
  </si>
  <si>
    <t>Z-score for a cumulative probability</t>
  </si>
  <si>
    <t>STANDARDIZE</t>
  </si>
  <si>
    <t>=STANDARDIZE(x, mean, sd)</t>
  </si>
  <si>
    <t>=STANDARDIZE(160,AVERAGE(B5:I5),STDEV.S(B5:I5))</t>
  </si>
  <si>
    <t>Converts a value to a z-score</t>
  </si>
  <si>
    <t>BINOM.DIST</t>
  </si>
  <si>
    <t>=BINOM.DIST(s, trials, p, cum)</t>
  </si>
  <si>
    <t>=BINOM.DIST(3,10,0.5,FALSE)</t>
  </si>
  <si>
    <t>Probability of s successes in n trials</t>
  </si>
  <si>
    <t>POISSON.DIST</t>
  </si>
  <si>
    <t>=POISSON.DIST(x, mean, cum)</t>
  </si>
  <si>
    <t>=POISSON.DIST(4,3,FALSE)</t>
  </si>
  <si>
    <t>Probability of x events given a mean rate</t>
  </si>
  <si>
    <t>EXPON.DIST</t>
  </si>
  <si>
    <t>=EXPON.DIST(x, lambda, cum)</t>
  </si>
  <si>
    <t>=EXPON.DIST(2,0.5,TRUE)</t>
  </si>
  <si>
    <t>Cumulative probability for wait times</t>
  </si>
  <si>
    <t>CONFIDENCE.NORM</t>
  </si>
  <si>
    <t>=CONFIDENCE.NORM(alpha, sd, n)</t>
  </si>
  <si>
    <t>=CONFIDENCE.NORM(0.05,STDEV.S(B5:I5),COUNT(B5:I5))</t>
  </si>
  <si>
    <t>Margin of error for a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</si>
</sst>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yyyy\-mm\-dd\ hh:mm"/>
    <numFmt numFmtId="166" formatCode="0.0%"/>
    <numFmt numFmtId="167" formatCode="&quot;₹&quot;#,##0"/>
    <numFmt numFmtId="168" formatCode="&quot;₹&quot;#,##0;\(&quot;₹&quot;#,##0\)"/>
    <numFmt numFmtId="169" formatCode="0.0"/>
    <numFmt numFmtId="170" formatCode="0.000"/>
  </numFmts>
  <fonts count="2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rgb="FF1F4E78"/>
      <name val="Aptos Narrow"/>
      <family val="2"/>
      <scheme val="minor"/>
    </font>
    <font>
      <sz val="18"/>
      <color rgb="FF0000F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8"/>
      <color rgb="FF808080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sz val="20"/>
      <color rgb="FF0432FF"/>
      <name val="Aptos Narrow"/>
      <scheme val="minor"/>
    </font>
    <font>
      <b/>
      <sz val="20"/>
      <color rgb="FFFFFFFF"/>
      <name val="Aptos Narrow"/>
      <scheme val="minor"/>
    </font>
    <font>
      <sz val="20"/>
      <color theme="1"/>
      <name val="Aptos Narrow"/>
      <scheme val="minor"/>
    </font>
    <font>
      <b/>
      <sz val="20"/>
      <color rgb="FF1F4E78"/>
      <name val="Aptos Narrow"/>
      <scheme val="minor"/>
    </font>
    <font>
      <b/>
      <sz val="20"/>
      <color theme="1"/>
      <name val="Aptos Narrow"/>
      <scheme val="minor"/>
    </font>
    <font>
      <sz val="20"/>
      <color rgb="FF0000FF"/>
      <name val="Aptos Narrow"/>
      <scheme val="minor"/>
    </font>
    <font>
      <sz val="20"/>
      <color rgb="FF000000"/>
      <name val="Aptos Narrow"/>
      <scheme val="minor"/>
    </font>
    <font>
      <i/>
      <sz val="20"/>
      <color rgb="FF0432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0" borderId="0" xfId="0" quotePrefix="1" applyFont="1" applyAlignment="1">
      <alignment vertical="top" wrapText="1"/>
    </xf>
    <xf numFmtId="0" fontId="9" fillId="0" borderId="0" xfId="0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164" fontId="8" fillId="0" borderId="0" xfId="0" applyNumberFormat="1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2" fontId="6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7" fontId="8" fillId="0" borderId="0" xfId="0" applyNumberFormat="1" applyFont="1" applyAlignment="1">
      <alignment vertical="top" wrapText="1"/>
    </xf>
    <xf numFmtId="168" fontId="8" fillId="0" borderId="0" xfId="0" applyNumberFormat="1" applyFont="1" applyAlignment="1">
      <alignment vertical="top" wrapText="1"/>
    </xf>
    <xf numFmtId="168" fontId="6" fillId="0" borderId="0" xfId="0" applyNumberFormat="1" applyFont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169" fontId="6" fillId="0" borderId="0" xfId="0" applyNumberFormat="1" applyFont="1" applyAlignment="1">
      <alignment vertical="top" wrapText="1"/>
    </xf>
    <xf numFmtId="170" fontId="6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1" applyFont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2" fillId="0" borderId="0" xfId="0" applyFont="1"/>
    <xf numFmtId="0" fontId="13" fillId="2" borderId="0" xfId="0" applyFont="1" applyFill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4" fillId="0" borderId="0" xfId="0" quotePrefix="1" applyFont="1" applyAlignment="1">
      <alignment vertical="top" wrapText="1"/>
    </xf>
    <xf numFmtId="2" fontId="14" fillId="0" borderId="0" xfId="0" applyNumberFormat="1" applyFont="1" applyAlignment="1">
      <alignment vertical="top" wrapText="1"/>
    </xf>
    <xf numFmtId="169" fontId="14" fillId="0" borderId="0" xfId="0" applyNumberFormat="1" applyFont="1" applyAlignment="1">
      <alignment vertical="top" wrapText="1"/>
    </xf>
    <xf numFmtId="170" fontId="14" fillId="0" borderId="0" xfId="0" applyNumberFormat="1" applyFont="1" applyAlignment="1">
      <alignment vertical="top" wrapText="1"/>
    </xf>
    <xf numFmtId="0" fontId="16" fillId="0" borderId="0" xfId="0" applyFont="1"/>
    <xf numFmtId="2" fontId="18" fillId="0" borderId="0" xfId="0" applyNumberFormat="1" applyFont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58FCA2-5426-3E44-AC7F-4D0FD31983C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3fd9819-f4da-4622-87a7-aa3fe5d6ad0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788F-3DFD-5245-B2F0-3C9E275065DB}">
  <sheetPr>
    <tabColor rgb="FF1F4E78"/>
  </sheetPr>
  <dimension ref="B1:C16"/>
  <sheetViews>
    <sheetView workbookViewId="0">
      <selection activeCell="I11" sqref="I11"/>
    </sheetView>
  </sheetViews>
  <sheetFormatPr baseColWidth="10" defaultRowHeight="16" x14ac:dyDescent="0.2"/>
  <cols>
    <col min="1" max="1" width="3.33203125" customWidth="1"/>
    <col min="2" max="2" width="30" customWidth="1"/>
    <col min="3" max="3" width="86.6640625" customWidth="1"/>
  </cols>
  <sheetData>
    <row r="1" spans="2:3" ht="32" customHeight="1" x14ac:dyDescent="0.2"/>
    <row r="2" spans="2:3" ht="24" x14ac:dyDescent="0.2">
      <c r="B2" s="24" t="s">
        <v>481</v>
      </c>
      <c r="C2" s="25"/>
    </row>
    <row r="3" spans="2:3" ht="50" x14ac:dyDescent="0.2">
      <c r="B3" s="22" t="s">
        <v>482</v>
      </c>
      <c r="C3" s="3"/>
    </row>
    <row r="4" spans="2:3" ht="24" x14ac:dyDescent="0.2">
      <c r="B4" s="3"/>
      <c r="C4" s="3"/>
    </row>
    <row r="5" spans="2:3" ht="25" x14ac:dyDescent="0.2">
      <c r="B5" s="6" t="s">
        <v>483</v>
      </c>
      <c r="C5" s="6" t="s">
        <v>484</v>
      </c>
    </row>
    <row r="6" spans="2:3" ht="50" x14ac:dyDescent="0.2">
      <c r="B6" s="23" t="s">
        <v>494</v>
      </c>
      <c r="C6" s="3" t="s">
        <v>485</v>
      </c>
    </row>
    <row r="7" spans="2:3" ht="25" x14ac:dyDescent="0.2">
      <c r="B7" s="23" t="s">
        <v>495</v>
      </c>
      <c r="C7" s="3" t="s">
        <v>486</v>
      </c>
    </row>
    <row r="8" spans="2:3" ht="50" x14ac:dyDescent="0.2">
      <c r="B8" s="23" t="s">
        <v>496</v>
      </c>
      <c r="C8" s="3" t="s">
        <v>487</v>
      </c>
    </row>
    <row r="9" spans="2:3" ht="50" x14ac:dyDescent="0.2">
      <c r="B9" s="23" t="s">
        <v>497</v>
      </c>
      <c r="C9" s="3" t="s">
        <v>488</v>
      </c>
    </row>
    <row r="10" spans="2:3" ht="50" x14ac:dyDescent="0.2">
      <c r="B10" s="23" t="s">
        <v>498</v>
      </c>
      <c r="C10" s="3" t="s">
        <v>567</v>
      </c>
    </row>
    <row r="11" spans="2:3" ht="50" x14ac:dyDescent="0.2">
      <c r="B11" s="23" t="s">
        <v>499</v>
      </c>
      <c r="C11" s="3" t="s">
        <v>489</v>
      </c>
    </row>
    <row r="12" spans="2:3" ht="50" x14ac:dyDescent="0.2">
      <c r="B12" s="23" t="s">
        <v>500</v>
      </c>
      <c r="C12" s="3" t="s">
        <v>490</v>
      </c>
    </row>
    <row r="13" spans="2:3" ht="50" x14ac:dyDescent="0.2">
      <c r="B13" s="23" t="s">
        <v>501</v>
      </c>
      <c r="C13" s="3" t="s">
        <v>491</v>
      </c>
    </row>
    <row r="14" spans="2:3" ht="50" x14ac:dyDescent="0.2">
      <c r="B14" s="23" t="s">
        <v>502</v>
      </c>
      <c r="C14" s="3" t="s">
        <v>492</v>
      </c>
    </row>
    <row r="15" spans="2:3" ht="50" x14ac:dyDescent="0.2">
      <c r="B15" s="23" t="s">
        <v>503</v>
      </c>
      <c r="C15" s="3" t="s">
        <v>493</v>
      </c>
    </row>
    <row r="16" spans="2:3" ht="50" x14ac:dyDescent="0.2">
      <c r="B16" s="23" t="s">
        <v>569</v>
      </c>
      <c r="C16" s="3" t="s">
        <v>568</v>
      </c>
    </row>
  </sheetData>
  <mergeCells count="1">
    <mergeCell ref="B2:C2"/>
  </mergeCells>
  <hyperlinks>
    <hyperlink ref="B6" location="'Core Math'!A1" display="1. Core Math" xr:uid="{A0E9B34B-278B-484E-AD25-BF2E05CA565F}"/>
    <hyperlink ref="B7" location="'Conditional Analysis'!A1" display="2. Conditional Analysis" xr:uid="{9D2B395F-6DDA-6B41-9422-63FA440BA92C}"/>
    <hyperlink ref="B8" location="'Lookup &amp; Reference'!A1" display="3. Lookup &amp; Reference" xr:uid="{0735300F-245D-E744-8A91-67F91E29311D}"/>
    <hyperlink ref="B9" location="'Date &amp; Time'!A1" display="4. Date &amp; Time" xr:uid="{34191716-B828-D443-9597-686980D8EE69}"/>
    <hyperlink ref="B10" location="'Financial Modeling'!A1" display="5. Financial Modeling" xr:uid="{580E5251-36AE-BF4D-BE33-B0C2DFF647B8}"/>
    <hyperlink ref="B11" location="'Statistical'!A1" display="6. Statistical" xr:uid="{DB9A7274-48B3-8048-8C87-C901E2527D4A}"/>
    <hyperlink ref="B12" location="'Text'!A1" display="7. Text" xr:uid="{B16B690A-E6F6-4746-81D8-493E189A7D96}"/>
    <hyperlink ref="B13" location="'Dynamic Arrays'!A1" display="8. Dynamic Arrays" xr:uid="{9CEA0264-CF3E-1649-914A-0196B916BF54}"/>
    <hyperlink ref="B14" location="'Error &amp; Info'!A1" display="9. Error &amp; Info" xr:uid="{73BBEC36-DE65-4549-989F-D13D9374EC90}"/>
    <hyperlink ref="B15" location="'Math Extras'!A1" display="10. Math Extras" xr:uid="{11E5F357-FA93-5A41-8FED-D6687E0900DD}"/>
    <hyperlink ref="B16" location="'Information &amp; Cell'!A1" display="11. Information &amp; Cell" xr:uid="{69F91885-1602-964C-B77C-7CC4566600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4D27-991C-3B44-8D5F-BB0600353C7D}">
  <sheetPr>
    <tabColor rgb="FF2E75B6"/>
  </sheetPr>
  <dimension ref="A1:G18"/>
  <sheetViews>
    <sheetView workbookViewId="0">
      <pane ySplit="8" topLeftCell="A9" activePane="bottomLeft" state="frozen"/>
      <selection pane="bottomLeft" activeCell="B28" sqref="B28"/>
    </sheetView>
  </sheetViews>
  <sheetFormatPr baseColWidth="10" defaultRowHeight="27" x14ac:dyDescent="0.35"/>
  <cols>
    <col min="1" max="1" width="18.33203125" style="1" customWidth="1"/>
    <col min="2" max="2" width="38.33203125" style="1" customWidth="1"/>
    <col min="3" max="3" width="41.6640625" style="1" customWidth="1"/>
    <col min="4" max="4" width="15" style="1" customWidth="1"/>
    <col min="5" max="5" width="50" style="1" customWidth="1"/>
    <col min="6" max="16384" width="10.83203125" style="1"/>
  </cols>
  <sheetData>
    <row r="1" spans="1:7" ht="32" customHeight="1" x14ac:dyDescent="0.35">
      <c r="A1" s="24" t="s">
        <v>0</v>
      </c>
      <c r="B1" s="25"/>
      <c r="C1" s="25"/>
      <c r="D1" s="25"/>
      <c r="E1" s="25"/>
      <c r="F1" s="3"/>
      <c r="G1" s="3"/>
    </row>
    <row r="2" spans="1:7" x14ac:dyDescent="0.35">
      <c r="A2" s="3"/>
      <c r="B2" s="3"/>
      <c r="C2" s="3"/>
      <c r="D2" s="3"/>
      <c r="E2" s="3"/>
      <c r="F2" s="3"/>
      <c r="G2" s="3"/>
    </row>
    <row r="3" spans="1:7" x14ac:dyDescent="0.35">
      <c r="A3" s="4" t="s">
        <v>1</v>
      </c>
      <c r="B3" s="3"/>
      <c r="C3" s="3"/>
      <c r="D3" s="3"/>
      <c r="E3" s="3"/>
      <c r="F3" s="3"/>
      <c r="G3" s="3"/>
    </row>
    <row r="4" spans="1:7" x14ac:dyDescent="0.35">
      <c r="A4" s="3" t="s">
        <v>2</v>
      </c>
      <c r="B4" s="5">
        <v>10</v>
      </c>
      <c r="C4" s="5">
        <v>25</v>
      </c>
      <c r="D4" s="5">
        <v>-8</v>
      </c>
      <c r="E4" s="5">
        <v>42</v>
      </c>
      <c r="F4" s="5">
        <v>17</v>
      </c>
      <c r="G4" s="5">
        <v>33</v>
      </c>
    </row>
    <row r="5" spans="1:7" x14ac:dyDescent="0.35">
      <c r="A5" s="3" t="s">
        <v>3</v>
      </c>
      <c r="B5" s="5">
        <v>4.2699999999999996</v>
      </c>
      <c r="C5" s="5">
        <v>9.81</v>
      </c>
      <c r="D5" s="5">
        <v>2.5</v>
      </c>
      <c r="E5" s="3"/>
      <c r="F5" s="3"/>
      <c r="G5" s="3"/>
    </row>
    <row r="6" spans="1:7" x14ac:dyDescent="0.35">
      <c r="A6" s="3" t="s">
        <v>4</v>
      </c>
      <c r="B6" s="5">
        <v>120</v>
      </c>
      <c r="C6" s="5">
        <v>85</v>
      </c>
      <c r="D6" s="5">
        <v>300</v>
      </c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3"/>
      <c r="G8" s="3"/>
    </row>
    <row r="9" spans="1:7" x14ac:dyDescent="0.35">
      <c r="A9" s="3" t="s">
        <v>10</v>
      </c>
      <c r="B9" s="7" t="s">
        <v>11</v>
      </c>
      <c r="C9" s="7" t="s">
        <v>12</v>
      </c>
      <c r="D9" s="3">
        <f>SUM(B4:G4)</f>
        <v>119</v>
      </c>
      <c r="E9" s="3" t="s">
        <v>13</v>
      </c>
      <c r="F9" s="3"/>
      <c r="G9" s="3"/>
    </row>
    <row r="10" spans="1:7" x14ac:dyDescent="0.35">
      <c r="A10" s="3" t="s">
        <v>14</v>
      </c>
      <c r="B10" s="7" t="s">
        <v>15</v>
      </c>
      <c r="C10" s="7" t="s">
        <v>16</v>
      </c>
      <c r="D10" s="3">
        <f>AVERAGE(B4:G4)</f>
        <v>19.833333333333332</v>
      </c>
      <c r="E10" s="3" t="s">
        <v>17</v>
      </c>
      <c r="F10" s="3"/>
      <c r="G10" s="3"/>
    </row>
    <row r="11" spans="1:7" x14ac:dyDescent="0.35">
      <c r="A11" s="3" t="s">
        <v>18</v>
      </c>
      <c r="B11" s="7" t="s">
        <v>19</v>
      </c>
      <c r="C11" s="7" t="s">
        <v>20</v>
      </c>
      <c r="D11" s="3">
        <f>MIN(B4:G4)</f>
        <v>-8</v>
      </c>
      <c r="E11" s="3" t="s">
        <v>21</v>
      </c>
      <c r="F11" s="3"/>
      <c r="G11" s="3"/>
    </row>
    <row r="12" spans="1:7" x14ac:dyDescent="0.35">
      <c r="A12" s="3" t="s">
        <v>22</v>
      </c>
      <c r="B12" s="7" t="s">
        <v>23</v>
      </c>
      <c r="C12" s="7" t="s">
        <v>24</v>
      </c>
      <c r="D12" s="3">
        <f>MAX(B4:G4)</f>
        <v>42</v>
      </c>
      <c r="E12" s="3" t="s">
        <v>25</v>
      </c>
      <c r="F12" s="3"/>
      <c r="G12" s="3"/>
    </row>
    <row r="13" spans="1:7" x14ac:dyDescent="0.35">
      <c r="A13" s="3" t="s">
        <v>26</v>
      </c>
      <c r="B13" s="7" t="s">
        <v>27</v>
      </c>
      <c r="C13" s="7" t="s">
        <v>28</v>
      </c>
      <c r="D13" s="3">
        <f>MEDIAN(B4:G4)</f>
        <v>21</v>
      </c>
      <c r="E13" s="3" t="s">
        <v>29</v>
      </c>
      <c r="F13" s="3"/>
      <c r="G13" s="3"/>
    </row>
    <row r="14" spans="1:7" x14ac:dyDescent="0.35">
      <c r="A14" s="3" t="s">
        <v>30</v>
      </c>
      <c r="B14" s="7" t="s">
        <v>31</v>
      </c>
      <c r="C14" s="7" t="s">
        <v>32</v>
      </c>
      <c r="D14" s="3">
        <f>ROUND(C5,1)</f>
        <v>9.8000000000000007</v>
      </c>
      <c r="E14" s="3" t="s">
        <v>33</v>
      </c>
      <c r="F14" s="3"/>
      <c r="G14" s="3"/>
    </row>
    <row r="15" spans="1:7" x14ac:dyDescent="0.35">
      <c r="A15" s="3" t="s">
        <v>34</v>
      </c>
      <c r="B15" s="7" t="s">
        <v>35</v>
      </c>
      <c r="C15" s="7" t="s">
        <v>36</v>
      </c>
      <c r="D15" s="3">
        <f>ROUNDUP(C5,0)</f>
        <v>10</v>
      </c>
      <c r="E15" s="3" t="s">
        <v>37</v>
      </c>
      <c r="F15" s="3"/>
      <c r="G15" s="3"/>
    </row>
    <row r="16" spans="1:7" ht="50" x14ac:dyDescent="0.35">
      <c r="A16" s="3" t="s">
        <v>38</v>
      </c>
      <c r="B16" s="7" t="s">
        <v>39</v>
      </c>
      <c r="C16" s="7" t="s">
        <v>40</v>
      </c>
      <c r="D16" s="3">
        <f>ROUNDDOWN(C5,0)</f>
        <v>9</v>
      </c>
      <c r="E16" s="3" t="s">
        <v>41</v>
      </c>
      <c r="F16" s="3"/>
      <c r="G16" s="3"/>
    </row>
    <row r="17" spans="1:7" x14ac:dyDescent="0.35">
      <c r="A17" s="3" t="s">
        <v>42</v>
      </c>
      <c r="B17" s="7" t="s">
        <v>43</v>
      </c>
      <c r="C17" s="7" t="s">
        <v>44</v>
      </c>
      <c r="D17" s="3">
        <f>ABS(D4)</f>
        <v>8</v>
      </c>
      <c r="E17" s="3" t="s">
        <v>45</v>
      </c>
      <c r="F17" s="3"/>
      <c r="G17" s="3"/>
    </row>
    <row r="18" spans="1:7" ht="50" x14ac:dyDescent="0.35">
      <c r="A18" s="3" t="s">
        <v>46</v>
      </c>
      <c r="B18" s="7" t="s">
        <v>47</v>
      </c>
      <c r="C18" s="7" t="s">
        <v>48</v>
      </c>
      <c r="D18" s="3">
        <f>SUMPRODUCT(B5:D5,B6:D6)</f>
        <v>2096.25</v>
      </c>
      <c r="E18" s="3" t="s">
        <v>49</v>
      </c>
      <c r="F18" s="3"/>
      <c r="G18" s="3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A4B5-5A9F-4F4B-970B-8DC13D57A72F}">
  <sheetPr>
    <tabColor rgb="FF548235"/>
  </sheetPr>
  <dimension ref="A1:E22"/>
  <sheetViews>
    <sheetView workbookViewId="0">
      <pane ySplit="12" topLeftCell="A22" activePane="bottomLeft" state="frozen"/>
      <selection pane="bottomLeft" activeCell="B28" sqref="B28"/>
    </sheetView>
  </sheetViews>
  <sheetFormatPr baseColWidth="10" defaultColWidth="34.1640625" defaultRowHeight="29" x14ac:dyDescent="0.35"/>
  <cols>
    <col min="1" max="1" width="18.33203125" style="2" customWidth="1"/>
    <col min="2" max="2" width="38.33203125" style="2" customWidth="1"/>
    <col min="3" max="3" width="41.6640625" style="2" customWidth="1"/>
    <col min="4" max="4" width="15" style="2" customWidth="1"/>
    <col min="5" max="5" width="50" style="2" customWidth="1"/>
    <col min="6" max="16384" width="34.1640625" style="2"/>
  </cols>
  <sheetData>
    <row r="1" spans="1:5" ht="32" customHeight="1" x14ac:dyDescent="0.35">
      <c r="A1" s="24" t="s">
        <v>50</v>
      </c>
      <c r="B1" s="25"/>
      <c r="C1" s="25"/>
      <c r="D1" s="25"/>
      <c r="E1" s="25"/>
    </row>
    <row r="2" spans="1:5" x14ac:dyDescent="0.35">
      <c r="A2" s="3"/>
      <c r="B2" s="3"/>
      <c r="C2" s="3"/>
      <c r="D2" s="3"/>
      <c r="E2" s="3"/>
    </row>
    <row r="3" spans="1:5" ht="75" x14ac:dyDescent="0.35">
      <c r="A3" s="4" t="s">
        <v>51</v>
      </c>
      <c r="B3" s="3"/>
      <c r="C3" s="3"/>
      <c r="D3" s="3"/>
      <c r="E3" s="3"/>
    </row>
    <row r="4" spans="1:5" x14ac:dyDescent="0.35">
      <c r="A4" s="8" t="s">
        <v>52</v>
      </c>
      <c r="B4" s="8" t="s">
        <v>53</v>
      </c>
      <c r="C4" s="8" t="s">
        <v>54</v>
      </c>
      <c r="D4" s="8" t="s">
        <v>55</v>
      </c>
      <c r="E4" s="3"/>
    </row>
    <row r="5" spans="1:5" x14ac:dyDescent="0.35">
      <c r="A5" s="3" t="s">
        <v>56</v>
      </c>
      <c r="B5" s="3" t="s">
        <v>57</v>
      </c>
      <c r="C5" s="5">
        <v>1200</v>
      </c>
      <c r="D5" s="3" t="s">
        <v>58</v>
      </c>
      <c r="E5" s="3"/>
    </row>
    <row r="6" spans="1:5" x14ac:dyDescent="0.35">
      <c r="A6" s="3" t="s">
        <v>59</v>
      </c>
      <c r="B6" s="3" t="s">
        <v>60</v>
      </c>
      <c r="C6" s="5">
        <v>800</v>
      </c>
      <c r="D6" s="3" t="s">
        <v>61</v>
      </c>
      <c r="E6" s="3"/>
    </row>
    <row r="7" spans="1:5" x14ac:dyDescent="0.35">
      <c r="A7" s="3" t="s">
        <v>56</v>
      </c>
      <c r="B7" s="3" t="s">
        <v>62</v>
      </c>
      <c r="C7" s="5">
        <v>1500</v>
      </c>
      <c r="D7" s="3" t="s">
        <v>58</v>
      </c>
      <c r="E7" s="3"/>
    </row>
    <row r="8" spans="1:5" x14ac:dyDescent="0.35">
      <c r="A8" s="3" t="s">
        <v>63</v>
      </c>
      <c r="B8" s="3" t="s">
        <v>57</v>
      </c>
      <c r="C8" s="5">
        <v>600</v>
      </c>
      <c r="D8" s="3" t="s">
        <v>58</v>
      </c>
      <c r="E8" s="3"/>
    </row>
    <row r="9" spans="1:5" x14ac:dyDescent="0.35">
      <c r="A9" s="3" t="s">
        <v>59</v>
      </c>
      <c r="B9" s="3" t="s">
        <v>60</v>
      </c>
      <c r="C9" s="5">
        <v>2100</v>
      </c>
      <c r="D9" s="3" t="s">
        <v>58</v>
      </c>
      <c r="E9" s="3"/>
    </row>
    <row r="10" spans="1:5" x14ac:dyDescent="0.35">
      <c r="A10" s="3" t="s">
        <v>56</v>
      </c>
      <c r="B10" s="3" t="s">
        <v>62</v>
      </c>
      <c r="C10" s="5">
        <v>950</v>
      </c>
      <c r="D10" s="3" t="s">
        <v>61</v>
      </c>
      <c r="E10" s="3"/>
    </row>
    <row r="11" spans="1:5" x14ac:dyDescent="0.35">
      <c r="A11" s="3"/>
      <c r="B11" s="3"/>
      <c r="C11" s="3"/>
      <c r="D11" s="3"/>
      <c r="E11" s="3"/>
    </row>
    <row r="12" spans="1:5" x14ac:dyDescent="0.35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</row>
    <row r="13" spans="1:5" x14ac:dyDescent="0.35">
      <c r="A13" s="3" t="s">
        <v>64</v>
      </c>
      <c r="B13" s="7" t="s">
        <v>65</v>
      </c>
      <c r="C13" s="7" t="s">
        <v>66</v>
      </c>
      <c r="D13" s="3" t="str">
        <f>IF(C5&gt;1000,"Big","Small")</f>
        <v>Big</v>
      </c>
      <c r="E13" s="3" t="s">
        <v>67</v>
      </c>
    </row>
    <row r="14" spans="1:5" ht="50" x14ac:dyDescent="0.35">
      <c r="A14" s="3" t="s">
        <v>68</v>
      </c>
      <c r="B14" s="7" t="s">
        <v>69</v>
      </c>
      <c r="C14" s="7" t="s">
        <v>70</v>
      </c>
      <c r="D14" s="3" t="str" cm="1">
        <f t="array" ref="D14">_xlfn.IFS(C5&gt;=1500,"A",C5&gt;=1000,"B",TRUE,"C")</f>
        <v>B</v>
      </c>
      <c r="E14" s="3" t="s">
        <v>71</v>
      </c>
    </row>
    <row r="15" spans="1:5" x14ac:dyDescent="0.35">
      <c r="A15" s="3" t="s">
        <v>72</v>
      </c>
      <c r="B15" s="7" t="s">
        <v>73</v>
      </c>
      <c r="C15" s="7" t="s">
        <v>74</v>
      </c>
      <c r="D15" s="3" t="b">
        <f>AND(C5&gt;1000,D5="Won")</f>
        <v>1</v>
      </c>
      <c r="E15" s="3" t="s">
        <v>75</v>
      </c>
    </row>
    <row r="16" spans="1:5" x14ac:dyDescent="0.35">
      <c r="A16" s="3" t="s">
        <v>76</v>
      </c>
      <c r="B16" s="7" t="s">
        <v>77</v>
      </c>
      <c r="C16" s="7" t="s">
        <v>78</v>
      </c>
      <c r="D16" s="3" t="b">
        <f>OR(D5="Won",C6&gt;1000)</f>
        <v>1</v>
      </c>
      <c r="E16" s="3" t="s">
        <v>79</v>
      </c>
    </row>
    <row r="17" spans="1:5" x14ac:dyDescent="0.35">
      <c r="A17" s="3" t="s">
        <v>80</v>
      </c>
      <c r="B17" s="7" t="s">
        <v>81</v>
      </c>
      <c r="C17" s="7" t="s">
        <v>82</v>
      </c>
      <c r="D17" s="3" t="str">
        <f>IFERROR(C5/0,"n/a")</f>
        <v>n/a</v>
      </c>
      <c r="E17" s="3" t="s">
        <v>83</v>
      </c>
    </row>
    <row r="18" spans="1:5" x14ac:dyDescent="0.35">
      <c r="A18" s="3" t="s">
        <v>84</v>
      </c>
      <c r="B18" s="7" t="s">
        <v>85</v>
      </c>
      <c r="C18" s="7" t="s">
        <v>86</v>
      </c>
      <c r="D18" s="3" t="str">
        <f>_xlfn.IFNA(NA(),"missing")</f>
        <v>missing</v>
      </c>
      <c r="E18" s="3" t="s">
        <v>87</v>
      </c>
    </row>
    <row r="19" spans="1:5" x14ac:dyDescent="0.35">
      <c r="A19" s="3" t="s">
        <v>88</v>
      </c>
      <c r="B19" s="7" t="s">
        <v>89</v>
      </c>
      <c r="C19" s="7" t="s">
        <v>90</v>
      </c>
      <c r="D19" s="3">
        <f>SUMIF(A5:A10,"North",C5:C10)</f>
        <v>3650</v>
      </c>
      <c r="E19" s="3" t="s">
        <v>91</v>
      </c>
    </row>
    <row r="20" spans="1:5" ht="50" x14ac:dyDescent="0.35">
      <c r="A20" s="3" t="s">
        <v>92</v>
      </c>
      <c r="B20" s="7" t="s">
        <v>93</v>
      </c>
      <c r="C20" s="7" t="s">
        <v>94</v>
      </c>
      <c r="D20" s="3">
        <f>SUMIFS(C5:C10,A5:A10,"North",D5:D10,"Won")</f>
        <v>2700</v>
      </c>
      <c r="E20" s="3" t="s">
        <v>95</v>
      </c>
    </row>
    <row r="21" spans="1:5" x14ac:dyDescent="0.35">
      <c r="A21" s="3" t="s">
        <v>96</v>
      </c>
      <c r="B21" s="7" t="s">
        <v>97</v>
      </c>
      <c r="C21" s="7" t="s">
        <v>98</v>
      </c>
      <c r="D21" s="3">
        <f>COUNTIF(D5:D10,"Won")</f>
        <v>4</v>
      </c>
      <c r="E21" s="3" t="s">
        <v>99</v>
      </c>
    </row>
    <row r="22" spans="1:5" ht="50" x14ac:dyDescent="0.35">
      <c r="A22" s="3" t="s">
        <v>100</v>
      </c>
      <c r="B22" s="7" t="s">
        <v>101</v>
      </c>
      <c r="C22" s="7" t="s">
        <v>102</v>
      </c>
      <c r="D22" s="3">
        <f>COUNTIFS(A5:A10,"North",D5:D10,"Won")</f>
        <v>2</v>
      </c>
      <c r="E22" s="3" t="s">
        <v>103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8EC7-CE8A-974E-9053-0297E0FA3150}">
  <sheetPr>
    <tabColor rgb="FF9E480E"/>
  </sheetPr>
  <dimension ref="A1:E21"/>
  <sheetViews>
    <sheetView workbookViewId="0">
      <pane ySplit="10" topLeftCell="A11" activePane="bottomLeft" state="frozen"/>
      <selection pane="bottomLeft" activeCell="B28" sqref="B28"/>
    </sheetView>
  </sheetViews>
  <sheetFormatPr baseColWidth="10" defaultColWidth="43" defaultRowHeight="29" x14ac:dyDescent="0.35"/>
  <cols>
    <col min="1" max="1" width="47.5" style="2" customWidth="1"/>
    <col min="2" max="2" width="38.33203125" style="2" customWidth="1"/>
    <col min="3" max="3" width="41.6640625" style="2" customWidth="1"/>
    <col min="4" max="4" width="15" style="2" customWidth="1"/>
    <col min="5" max="5" width="50" style="2" customWidth="1"/>
    <col min="6" max="16384" width="43" style="2"/>
  </cols>
  <sheetData>
    <row r="1" spans="1:5" ht="32" customHeight="1" x14ac:dyDescent="0.35">
      <c r="A1" s="24" t="s">
        <v>104</v>
      </c>
      <c r="B1" s="25"/>
      <c r="C1" s="25"/>
      <c r="D1" s="25"/>
      <c r="E1" s="25"/>
    </row>
    <row r="2" spans="1:5" x14ac:dyDescent="0.35">
      <c r="A2" s="3"/>
      <c r="B2" s="3"/>
      <c r="C2" s="3"/>
      <c r="D2" s="3"/>
      <c r="E2" s="3"/>
    </row>
    <row r="3" spans="1:5" x14ac:dyDescent="0.35">
      <c r="A3" s="4" t="s">
        <v>105</v>
      </c>
      <c r="B3" s="3"/>
      <c r="C3" s="3"/>
      <c r="D3" s="3"/>
      <c r="E3" s="3"/>
    </row>
    <row r="4" spans="1:5" x14ac:dyDescent="0.35">
      <c r="A4" s="8" t="s">
        <v>106</v>
      </c>
      <c r="B4" s="8" t="s">
        <v>107</v>
      </c>
      <c r="C4" s="8" t="s">
        <v>108</v>
      </c>
      <c r="D4" s="8" t="s">
        <v>109</v>
      </c>
      <c r="E4" s="3"/>
    </row>
    <row r="5" spans="1:5" x14ac:dyDescent="0.35">
      <c r="A5" s="5">
        <v>101</v>
      </c>
      <c r="B5" s="3" t="s">
        <v>110</v>
      </c>
      <c r="C5" s="5">
        <v>12.5</v>
      </c>
      <c r="D5" s="5">
        <v>340</v>
      </c>
      <c r="E5" s="3"/>
    </row>
    <row r="6" spans="1:5" x14ac:dyDescent="0.35">
      <c r="A6" s="5">
        <v>102</v>
      </c>
      <c r="B6" s="3" t="s">
        <v>111</v>
      </c>
      <c r="C6" s="5">
        <v>27</v>
      </c>
      <c r="D6" s="5">
        <v>120</v>
      </c>
      <c r="E6" s="3"/>
    </row>
    <row r="7" spans="1:5" x14ac:dyDescent="0.35">
      <c r="A7" s="5">
        <v>103</v>
      </c>
      <c r="B7" s="3" t="s">
        <v>112</v>
      </c>
      <c r="C7" s="5">
        <v>8.75</v>
      </c>
      <c r="D7" s="5">
        <v>540</v>
      </c>
      <c r="E7" s="3"/>
    </row>
    <row r="8" spans="1:5" x14ac:dyDescent="0.35">
      <c r="A8" s="5">
        <v>104</v>
      </c>
      <c r="B8" s="3" t="s">
        <v>113</v>
      </c>
      <c r="C8" s="5">
        <v>45</v>
      </c>
      <c r="D8" s="5">
        <v>60</v>
      </c>
      <c r="E8" s="3"/>
    </row>
    <row r="9" spans="1:5" x14ac:dyDescent="0.35">
      <c r="A9" s="3"/>
      <c r="B9" s="3"/>
      <c r="C9" s="3"/>
      <c r="D9" s="3"/>
      <c r="E9" s="3"/>
    </row>
    <row r="10" spans="1:5" x14ac:dyDescent="0.35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 ht="50" x14ac:dyDescent="0.35">
      <c r="A11" s="3" t="s">
        <v>114</v>
      </c>
      <c r="B11" s="7" t="s">
        <v>115</v>
      </c>
      <c r="C11" s="7" t="s">
        <v>116</v>
      </c>
      <c r="D11" s="3" t="str">
        <f>_xlfn.XLOOKUP(103,A5:A8,B5:B8)</f>
        <v>Gizmo</v>
      </c>
      <c r="E11" s="3" t="s">
        <v>117</v>
      </c>
    </row>
    <row r="12" spans="1:5" ht="50" x14ac:dyDescent="0.35">
      <c r="A12" s="3" t="s">
        <v>118</v>
      </c>
      <c r="B12" s="7" t="s">
        <v>119</v>
      </c>
      <c r="C12" s="7" t="s">
        <v>120</v>
      </c>
      <c r="D12" s="3">
        <f>VLOOKUP(102,A5:D8,3,FALSE)</f>
        <v>27</v>
      </c>
      <c r="E12" s="3" t="s">
        <v>121</v>
      </c>
    </row>
    <row r="13" spans="1:5" ht="50" x14ac:dyDescent="0.35">
      <c r="A13" s="3" t="s">
        <v>122</v>
      </c>
      <c r="B13" s="7" t="s">
        <v>123</v>
      </c>
      <c r="C13" s="7" t="s">
        <v>124</v>
      </c>
      <c r="D13" s="3">
        <f>HLOOKUP("Price",A4:D8,4,FALSE)</f>
        <v>8.75</v>
      </c>
      <c r="E13" s="3" t="s">
        <v>125</v>
      </c>
    </row>
    <row r="14" spans="1:5" x14ac:dyDescent="0.35">
      <c r="A14" s="3" t="s">
        <v>126</v>
      </c>
      <c r="B14" s="7" t="s">
        <v>127</v>
      </c>
      <c r="C14" s="7" t="s">
        <v>128</v>
      </c>
      <c r="D14" s="3" t="str">
        <f>INDEX(A5:D8,3,2)</f>
        <v>Gizmo</v>
      </c>
      <c r="E14" s="3" t="s">
        <v>129</v>
      </c>
    </row>
    <row r="15" spans="1:5" x14ac:dyDescent="0.35">
      <c r="A15" s="3" t="s">
        <v>130</v>
      </c>
      <c r="B15" s="7" t="s">
        <v>131</v>
      </c>
      <c r="C15" s="7" t="s">
        <v>132</v>
      </c>
      <c r="D15" s="3">
        <f>MATCH("Gizmo",B5:B8,0)</f>
        <v>3</v>
      </c>
      <c r="E15" s="3" t="s">
        <v>133</v>
      </c>
    </row>
    <row r="16" spans="1:5" x14ac:dyDescent="0.35">
      <c r="A16" s="3" t="s">
        <v>134</v>
      </c>
      <c r="B16" s="7" t="s">
        <v>135</v>
      </c>
      <c r="C16" s="7" t="s">
        <v>136</v>
      </c>
      <c r="D16" s="3">
        <f>_xlfn.XMATCH(45,C5:C8)</f>
        <v>4</v>
      </c>
      <c r="E16" s="3" t="s">
        <v>137</v>
      </c>
    </row>
    <row r="17" spans="1:5" ht="50" x14ac:dyDescent="0.35">
      <c r="A17" s="3" t="s">
        <v>138</v>
      </c>
      <c r="B17" s="7" t="s">
        <v>139</v>
      </c>
      <c r="C17" s="7" t="s">
        <v>140</v>
      </c>
      <c r="D17" s="3">
        <f>INDEX(C5:C8,MATCH("Gadget",B5:B8,0))</f>
        <v>27</v>
      </c>
      <c r="E17" s="3" t="s">
        <v>141</v>
      </c>
    </row>
    <row r="18" spans="1:5" x14ac:dyDescent="0.35">
      <c r="A18" s="3" t="s">
        <v>142</v>
      </c>
      <c r="B18" s="7" t="s">
        <v>143</v>
      </c>
      <c r="C18" s="7" t="s">
        <v>144</v>
      </c>
      <c r="D18" s="3">
        <f ca="1">OFFSET(A4,2,2)</f>
        <v>27</v>
      </c>
      <c r="E18" s="3" t="s">
        <v>145</v>
      </c>
    </row>
    <row r="19" spans="1:5" x14ac:dyDescent="0.35">
      <c r="A19" s="3" t="s">
        <v>146</v>
      </c>
      <c r="B19" s="7" t="s">
        <v>147</v>
      </c>
      <c r="C19" s="7" t="s">
        <v>148</v>
      </c>
      <c r="D19" s="3" t="str">
        <f>CHOOSE(2,"Q1","Q2","Q3")</f>
        <v>Q2</v>
      </c>
      <c r="E19" s="3" t="s">
        <v>149</v>
      </c>
    </row>
    <row r="20" spans="1:5" ht="75" x14ac:dyDescent="0.35">
      <c r="A20" s="3" t="s">
        <v>150</v>
      </c>
      <c r="B20" s="9" t="s">
        <v>151</v>
      </c>
      <c r="C20" s="9" t="s">
        <v>152</v>
      </c>
      <c r="D20" s="3" t="s">
        <v>111</v>
      </c>
      <c r="E20" s="3" t="s">
        <v>153</v>
      </c>
    </row>
    <row r="21" spans="1:5" x14ac:dyDescent="0.35">
      <c r="A21" s="3" t="s">
        <v>154</v>
      </c>
      <c r="B21" s="7" t="s">
        <v>155</v>
      </c>
      <c r="C21" s="7" t="s">
        <v>156</v>
      </c>
      <c r="D21" s="3" t="str">
        <f>ADDRESS(5,2)</f>
        <v>$B$5</v>
      </c>
      <c r="E21" s="3" t="s">
        <v>157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57D3-CA32-7041-A7D8-EF4D9FC3A8C1}">
  <sheetPr>
    <tabColor rgb="FF7030A0"/>
  </sheetPr>
  <dimension ref="A1:E17"/>
  <sheetViews>
    <sheetView workbookViewId="0">
      <pane ySplit="7" topLeftCell="A8" activePane="bottomLeft" state="frozen"/>
      <selection pane="bottomLeft" activeCell="B28" sqref="B28"/>
    </sheetView>
  </sheetViews>
  <sheetFormatPr baseColWidth="10" defaultRowHeight="29" x14ac:dyDescent="0.35"/>
  <cols>
    <col min="1" max="1" width="18.33203125" style="2" customWidth="1"/>
    <col min="2" max="2" width="38.33203125" style="2" customWidth="1"/>
    <col min="3" max="3" width="41.6640625" style="2" customWidth="1"/>
    <col min="4" max="4" width="15" style="2" customWidth="1"/>
    <col min="5" max="5" width="50" style="2" customWidth="1"/>
    <col min="6" max="16384" width="10.83203125" style="2"/>
  </cols>
  <sheetData>
    <row r="1" spans="1:5" ht="32" customHeight="1" x14ac:dyDescent="0.35">
      <c r="A1" s="24" t="s">
        <v>158</v>
      </c>
      <c r="B1" s="25"/>
      <c r="C1" s="25"/>
      <c r="D1" s="25"/>
      <c r="E1" s="25"/>
    </row>
    <row r="2" spans="1:5" x14ac:dyDescent="0.35">
      <c r="A2" s="3"/>
      <c r="B2" s="3"/>
      <c r="C2" s="3"/>
      <c r="D2" s="3"/>
      <c r="E2" s="3"/>
    </row>
    <row r="3" spans="1:5" x14ac:dyDescent="0.35">
      <c r="A3" s="4" t="s">
        <v>1</v>
      </c>
      <c r="B3" s="3"/>
      <c r="C3" s="3"/>
      <c r="D3" s="3"/>
      <c r="E3" s="3"/>
    </row>
    <row r="4" spans="1:5" x14ac:dyDescent="0.35">
      <c r="A4" s="3" t="s">
        <v>159</v>
      </c>
      <c r="B4" s="10">
        <v>45306</v>
      </c>
      <c r="C4" s="3"/>
      <c r="D4" s="3"/>
      <c r="E4" s="3"/>
    </row>
    <row r="5" spans="1:5" x14ac:dyDescent="0.35">
      <c r="A5" s="3" t="s">
        <v>160</v>
      </c>
      <c r="B5" s="10">
        <v>45565</v>
      </c>
      <c r="C5" s="3"/>
      <c r="D5" s="3"/>
      <c r="E5" s="3"/>
    </row>
    <row r="6" spans="1:5" x14ac:dyDescent="0.35">
      <c r="A6" s="3"/>
      <c r="B6" s="3"/>
      <c r="C6" s="3"/>
      <c r="D6" s="3"/>
      <c r="E6" s="3"/>
    </row>
    <row r="7" spans="1:5" x14ac:dyDescent="0.3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x14ac:dyDescent="0.35">
      <c r="A8" s="3" t="s">
        <v>161</v>
      </c>
      <c r="B8" s="7" t="s">
        <v>162</v>
      </c>
      <c r="C8" s="7" t="s">
        <v>162</v>
      </c>
      <c r="D8" s="11">
        <f ca="1">TODAY()</f>
        <v>46174</v>
      </c>
      <c r="E8" s="3" t="s">
        <v>163</v>
      </c>
    </row>
    <row r="9" spans="1:5" x14ac:dyDescent="0.35">
      <c r="A9" s="3" t="s">
        <v>164</v>
      </c>
      <c r="B9" s="7" t="s">
        <v>165</v>
      </c>
      <c r="C9" s="7" t="s">
        <v>165</v>
      </c>
      <c r="D9" s="12">
        <f ca="1">NOW()</f>
        <v>46174.802494560186</v>
      </c>
      <c r="E9" s="3" t="s">
        <v>166</v>
      </c>
    </row>
    <row r="10" spans="1:5" x14ac:dyDescent="0.35">
      <c r="A10" s="3" t="s">
        <v>167</v>
      </c>
      <c r="B10" s="7" t="s">
        <v>168</v>
      </c>
      <c r="C10" s="7" t="s">
        <v>169</v>
      </c>
      <c r="D10" s="11">
        <f>DATE(2025,12,31)</f>
        <v>46022</v>
      </c>
      <c r="E10" s="3" t="s">
        <v>170</v>
      </c>
    </row>
    <row r="11" spans="1:5" x14ac:dyDescent="0.35">
      <c r="A11" s="3" t="s">
        <v>171</v>
      </c>
      <c r="B11" s="7" t="s">
        <v>172</v>
      </c>
      <c r="C11" s="7" t="s">
        <v>173</v>
      </c>
      <c r="D11" s="3">
        <f>YEAR(B5)</f>
        <v>2024</v>
      </c>
      <c r="E11" s="3" t="s">
        <v>174</v>
      </c>
    </row>
    <row r="12" spans="1:5" x14ac:dyDescent="0.35">
      <c r="A12" s="3" t="s">
        <v>175</v>
      </c>
      <c r="B12" s="7" t="s">
        <v>176</v>
      </c>
      <c r="C12" s="7" t="s">
        <v>177</v>
      </c>
      <c r="D12" s="3">
        <f>MONTH(B5)</f>
        <v>9</v>
      </c>
      <c r="E12" s="3" t="s">
        <v>178</v>
      </c>
    </row>
    <row r="13" spans="1:5" x14ac:dyDescent="0.35">
      <c r="A13" s="3" t="s">
        <v>179</v>
      </c>
      <c r="B13" s="7" t="s">
        <v>180</v>
      </c>
      <c r="C13" s="7" t="s">
        <v>181</v>
      </c>
      <c r="D13" s="3">
        <f>DAY(B5)</f>
        <v>30</v>
      </c>
      <c r="E13" s="3" t="s">
        <v>182</v>
      </c>
    </row>
    <row r="14" spans="1:5" x14ac:dyDescent="0.35">
      <c r="A14" s="3" t="s">
        <v>183</v>
      </c>
      <c r="B14" s="7" t="s">
        <v>184</v>
      </c>
      <c r="C14" s="7" t="s">
        <v>185</v>
      </c>
      <c r="D14" s="11">
        <f>EOMONTH(B4,0)</f>
        <v>45322</v>
      </c>
      <c r="E14" s="3" t="s">
        <v>186</v>
      </c>
    </row>
    <row r="15" spans="1:5" x14ac:dyDescent="0.35">
      <c r="A15" s="3" t="s">
        <v>187</v>
      </c>
      <c r="B15" s="7" t="s">
        <v>188</v>
      </c>
      <c r="C15" s="7" t="s">
        <v>189</v>
      </c>
      <c r="D15" s="11">
        <f>EDATE(B4,3)</f>
        <v>45397</v>
      </c>
      <c r="E15" s="3" t="s">
        <v>190</v>
      </c>
    </row>
    <row r="16" spans="1:5" ht="50" x14ac:dyDescent="0.35">
      <c r="A16" s="3" t="s">
        <v>191</v>
      </c>
      <c r="B16" s="7" t="s">
        <v>192</v>
      </c>
      <c r="C16" s="7" t="s">
        <v>193</v>
      </c>
      <c r="D16" s="3">
        <f>NETWORKDAYS(B4,B5)</f>
        <v>186</v>
      </c>
      <c r="E16" s="3" t="s">
        <v>194</v>
      </c>
    </row>
    <row r="17" spans="1:5" x14ac:dyDescent="0.35">
      <c r="A17" s="3" t="s">
        <v>195</v>
      </c>
      <c r="B17" s="7" t="s">
        <v>196</v>
      </c>
      <c r="C17" s="7" t="s">
        <v>197</v>
      </c>
      <c r="D17" s="13">
        <f>YEARFRAC(B4,B5)</f>
        <v>0.70833333333333337</v>
      </c>
      <c r="E17" s="3" t="s">
        <v>198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97AD-41B4-9D4B-BE69-81F7E651D462}">
  <sheetPr>
    <tabColor rgb="FFC00000"/>
  </sheetPr>
  <dimension ref="A1:E37"/>
  <sheetViews>
    <sheetView workbookViewId="0">
      <pane ySplit="15" topLeftCell="A16" activePane="bottomLeft" state="frozen"/>
      <selection pane="bottomLeft" activeCell="B28" sqref="B28"/>
    </sheetView>
  </sheetViews>
  <sheetFormatPr baseColWidth="10" defaultRowHeight="29" x14ac:dyDescent="0.35"/>
  <cols>
    <col min="1" max="1" width="33.5" style="2" customWidth="1"/>
    <col min="2" max="2" width="38.33203125" style="2" customWidth="1"/>
    <col min="3" max="3" width="41.6640625" style="2" customWidth="1"/>
    <col min="4" max="4" width="15" style="2" customWidth="1"/>
    <col min="5" max="5" width="50" style="2" customWidth="1"/>
    <col min="6" max="16384" width="10.83203125" style="2"/>
  </cols>
  <sheetData>
    <row r="1" spans="1:5" ht="32" customHeight="1" x14ac:dyDescent="0.35">
      <c r="A1" s="24" t="s">
        <v>199</v>
      </c>
      <c r="B1" s="25"/>
      <c r="C1" s="25"/>
      <c r="D1" s="25"/>
      <c r="E1" s="25"/>
    </row>
    <row r="2" spans="1:5" x14ac:dyDescent="0.35">
      <c r="A2" s="3"/>
      <c r="B2" s="3"/>
      <c r="C2" s="3"/>
      <c r="D2" s="3"/>
      <c r="E2" s="3"/>
    </row>
    <row r="3" spans="1:5" x14ac:dyDescent="0.35">
      <c r="A3" s="4" t="s">
        <v>200</v>
      </c>
      <c r="B3" s="3"/>
      <c r="C3" s="3"/>
      <c r="D3" s="3"/>
      <c r="E3" s="3"/>
    </row>
    <row r="4" spans="1:5" x14ac:dyDescent="0.35">
      <c r="A4" s="3" t="s">
        <v>201</v>
      </c>
      <c r="B4" s="14">
        <v>0.08</v>
      </c>
      <c r="C4" s="3"/>
      <c r="D4" s="3"/>
      <c r="E4" s="3"/>
    </row>
    <row r="5" spans="1:5" x14ac:dyDescent="0.35">
      <c r="A5" s="3" t="s">
        <v>202</v>
      </c>
      <c r="B5" s="5">
        <v>5</v>
      </c>
      <c r="C5" s="3"/>
      <c r="D5" s="3"/>
      <c r="E5" s="3"/>
    </row>
    <row r="6" spans="1:5" x14ac:dyDescent="0.35">
      <c r="A6" s="3" t="s">
        <v>203</v>
      </c>
      <c r="B6" s="15">
        <v>100000</v>
      </c>
      <c r="C6" s="3"/>
      <c r="D6" s="3"/>
      <c r="E6" s="3"/>
    </row>
    <row r="7" spans="1:5" x14ac:dyDescent="0.35">
      <c r="A7" s="3"/>
      <c r="B7" s="3"/>
      <c r="C7" s="3"/>
      <c r="D7" s="3"/>
      <c r="E7" s="3"/>
    </row>
    <row r="8" spans="1:5" x14ac:dyDescent="0.35">
      <c r="A8" s="4" t="s">
        <v>204</v>
      </c>
      <c r="B8" s="3"/>
      <c r="C8" s="3"/>
      <c r="D8" s="3"/>
      <c r="E8" s="3"/>
    </row>
    <row r="9" spans="1:5" x14ac:dyDescent="0.35">
      <c r="A9" s="3" t="s">
        <v>205</v>
      </c>
      <c r="B9" s="3" t="s">
        <v>206</v>
      </c>
      <c r="C9" s="3"/>
      <c r="D9" s="3"/>
      <c r="E9" s="3"/>
    </row>
    <row r="10" spans="1:5" x14ac:dyDescent="0.35">
      <c r="A10" s="11">
        <v>45292</v>
      </c>
      <c r="B10" s="16">
        <v>-100000</v>
      </c>
      <c r="C10" s="3"/>
      <c r="D10" s="3"/>
      <c r="E10" s="3"/>
    </row>
    <row r="11" spans="1:5" x14ac:dyDescent="0.35">
      <c r="A11" s="11">
        <v>45474</v>
      </c>
      <c r="B11" s="16">
        <v>30000</v>
      </c>
      <c r="C11" s="3"/>
      <c r="D11" s="3"/>
      <c r="E11" s="3"/>
    </row>
    <row r="12" spans="1:5" x14ac:dyDescent="0.35">
      <c r="A12" s="11">
        <v>45658</v>
      </c>
      <c r="B12" s="16">
        <v>40000</v>
      </c>
      <c r="C12" s="3"/>
      <c r="D12" s="3"/>
      <c r="E12" s="3"/>
    </row>
    <row r="13" spans="1:5" x14ac:dyDescent="0.35">
      <c r="A13" s="11">
        <v>45901</v>
      </c>
      <c r="B13" s="16">
        <v>50000</v>
      </c>
      <c r="C13" s="3"/>
      <c r="D13" s="3"/>
      <c r="E13" s="3"/>
    </row>
    <row r="14" spans="1:5" x14ac:dyDescent="0.35">
      <c r="A14" s="3"/>
      <c r="B14" s="3"/>
      <c r="C14" s="3"/>
      <c r="D14" s="3"/>
      <c r="E14" s="3"/>
    </row>
    <row r="15" spans="1:5" x14ac:dyDescent="0.35">
      <c r="A15" s="6" t="s">
        <v>5</v>
      </c>
      <c r="B15" s="6" t="s">
        <v>6</v>
      </c>
      <c r="C15" s="6" t="s">
        <v>7</v>
      </c>
      <c r="D15" s="6" t="s">
        <v>8</v>
      </c>
      <c r="E15" s="6" t="s">
        <v>9</v>
      </c>
    </row>
    <row r="16" spans="1:5" x14ac:dyDescent="0.35">
      <c r="A16" s="3" t="s">
        <v>207</v>
      </c>
      <c r="B16" s="7" t="s">
        <v>208</v>
      </c>
      <c r="C16" s="7" t="s">
        <v>209</v>
      </c>
      <c r="D16" s="17">
        <f>PV(B4,B5,-25000)</f>
        <v>99817.750926952183</v>
      </c>
      <c r="E16" s="3" t="s">
        <v>210</v>
      </c>
    </row>
    <row r="17" spans="1:5" x14ac:dyDescent="0.35">
      <c r="A17" s="3" t="s">
        <v>211</v>
      </c>
      <c r="B17" s="7" t="s">
        <v>212</v>
      </c>
      <c r="C17" s="7" t="s">
        <v>213</v>
      </c>
      <c r="D17" s="17">
        <f>FV(B4,B5,0,-B6)</f>
        <v>146932.80768000003</v>
      </c>
      <c r="E17" s="3" t="s">
        <v>214</v>
      </c>
    </row>
    <row r="18" spans="1:5" x14ac:dyDescent="0.35">
      <c r="A18" s="3" t="s">
        <v>215</v>
      </c>
      <c r="B18" s="7" t="s">
        <v>216</v>
      </c>
      <c r="C18" s="7" t="s">
        <v>217</v>
      </c>
      <c r="D18" s="17">
        <f>PMT(B4,B5,B6)</f>
        <v>-25045.645456683658</v>
      </c>
      <c r="E18" s="3" t="s">
        <v>218</v>
      </c>
    </row>
    <row r="19" spans="1:5" x14ac:dyDescent="0.35">
      <c r="A19" s="3" t="s">
        <v>219</v>
      </c>
      <c r="B19" s="7" t="s">
        <v>220</v>
      </c>
      <c r="C19" s="7" t="s">
        <v>221</v>
      </c>
      <c r="D19" s="17">
        <f>IPMT(B4,1,B5,B6)</f>
        <v>-8000</v>
      </c>
      <c r="E19" s="3" t="s">
        <v>222</v>
      </c>
    </row>
    <row r="20" spans="1:5" x14ac:dyDescent="0.35">
      <c r="A20" s="3" t="s">
        <v>223</v>
      </c>
      <c r="B20" s="7" t="s">
        <v>224</v>
      </c>
      <c r="C20" s="7" t="s">
        <v>225</v>
      </c>
      <c r="D20" s="17">
        <f>PPMT(B4,1,B5,B6)</f>
        <v>-17045.645456683658</v>
      </c>
      <c r="E20" s="3" t="s">
        <v>226</v>
      </c>
    </row>
    <row r="21" spans="1:5" x14ac:dyDescent="0.35">
      <c r="A21" s="3" t="s">
        <v>227</v>
      </c>
      <c r="B21" s="7" t="s">
        <v>228</v>
      </c>
      <c r="C21" s="7" t="s">
        <v>229</v>
      </c>
      <c r="D21" s="17">
        <f>NPV(B4,B11:B13)+B10</f>
        <v>1762.9426408575673</v>
      </c>
      <c r="E21" s="3" t="s">
        <v>230</v>
      </c>
    </row>
    <row r="22" spans="1:5" x14ac:dyDescent="0.35">
      <c r="A22" s="3" t="s">
        <v>231</v>
      </c>
      <c r="B22" s="7" t="s">
        <v>232</v>
      </c>
      <c r="C22" s="7" t="s">
        <v>233</v>
      </c>
      <c r="D22" s="17">
        <f>XNPV(B4,B10:B13,A10:A13)</f>
        <v>9874.4664832622948</v>
      </c>
      <c r="E22" s="3" t="s">
        <v>234</v>
      </c>
    </row>
    <row r="23" spans="1:5" x14ac:dyDescent="0.35">
      <c r="A23" s="3" t="s">
        <v>235</v>
      </c>
      <c r="B23" s="7" t="s">
        <v>236</v>
      </c>
      <c r="C23" s="7" t="s">
        <v>237</v>
      </c>
      <c r="D23" s="18">
        <f>IRR(B10:B13)</f>
        <v>8.8963394693349906E-2</v>
      </c>
      <c r="E23" s="3" t="s">
        <v>238</v>
      </c>
    </row>
    <row r="24" spans="1:5" x14ac:dyDescent="0.35">
      <c r="A24" s="3" t="s">
        <v>239</v>
      </c>
      <c r="B24" s="7" t="s">
        <v>240</v>
      </c>
      <c r="C24" s="7" t="s">
        <v>241</v>
      </c>
      <c r="D24" s="18">
        <f>XIRR(B10:B13,A10:A13)</f>
        <v>0.1740945398807526</v>
      </c>
      <c r="E24" s="3" t="s">
        <v>242</v>
      </c>
    </row>
    <row r="25" spans="1:5" x14ac:dyDescent="0.35">
      <c r="A25" s="3" t="s">
        <v>243</v>
      </c>
      <c r="B25" s="7" t="s">
        <v>244</v>
      </c>
      <c r="C25" s="7" t="s">
        <v>245</v>
      </c>
      <c r="D25" s="18">
        <f>RATE(B5,-25000,B6)</f>
        <v>7.9308261160528359E-2</v>
      </c>
      <c r="E25" s="3" t="s">
        <v>246</v>
      </c>
    </row>
    <row r="26" spans="1:5" x14ac:dyDescent="0.35">
      <c r="A26" s="3"/>
      <c r="B26" s="3"/>
      <c r="C26" s="3"/>
      <c r="D26" s="3"/>
      <c r="E26" s="3"/>
    </row>
    <row r="27" spans="1:5" ht="50" x14ac:dyDescent="0.35">
      <c r="A27" s="4" t="s">
        <v>504</v>
      </c>
      <c r="B27" s="3"/>
      <c r="C27" s="3"/>
      <c r="D27" s="3"/>
      <c r="E27" s="3"/>
    </row>
    <row r="28" spans="1:5" x14ac:dyDescent="0.35">
      <c r="A28" s="3" t="s">
        <v>505</v>
      </c>
      <c r="B28" s="15">
        <v>50000</v>
      </c>
      <c r="C28" s="3"/>
      <c r="D28" s="3"/>
      <c r="E28" s="3"/>
    </row>
    <row r="29" spans="1:5" x14ac:dyDescent="0.35">
      <c r="A29" s="3" t="s">
        <v>506</v>
      </c>
      <c r="B29" s="15">
        <v>5000</v>
      </c>
      <c r="C29" s="3"/>
      <c r="D29" s="3"/>
      <c r="E29" s="3"/>
    </row>
    <row r="30" spans="1:5" x14ac:dyDescent="0.35">
      <c r="A30" s="3" t="s">
        <v>507</v>
      </c>
      <c r="B30" s="5">
        <v>5</v>
      </c>
      <c r="C30" s="3"/>
      <c r="D30" s="3"/>
      <c r="E30" s="3"/>
    </row>
    <row r="31" spans="1:5" x14ac:dyDescent="0.35">
      <c r="A31" s="3" t="s">
        <v>508</v>
      </c>
      <c r="B31" s="5">
        <v>1</v>
      </c>
      <c r="C31" s="3"/>
      <c r="D31" s="3"/>
      <c r="E31" s="3"/>
    </row>
    <row r="32" spans="1:5" x14ac:dyDescent="0.35">
      <c r="A32" s="3"/>
      <c r="B32" s="3"/>
      <c r="C32" s="3"/>
      <c r="D32" s="3"/>
      <c r="E32" s="3"/>
    </row>
    <row r="33" spans="1:5" x14ac:dyDescent="0.35">
      <c r="A33" s="6" t="s">
        <v>5</v>
      </c>
      <c r="B33" s="6" t="s">
        <v>6</v>
      </c>
      <c r="C33" s="6" t="s">
        <v>7</v>
      </c>
      <c r="D33" s="6" t="s">
        <v>8</v>
      </c>
      <c r="E33" s="6" t="s">
        <v>9</v>
      </c>
    </row>
    <row r="34" spans="1:5" x14ac:dyDescent="0.35">
      <c r="A34" s="3" t="s">
        <v>509</v>
      </c>
      <c r="B34" s="7" t="s">
        <v>510</v>
      </c>
      <c r="C34" s="7" t="s">
        <v>511</v>
      </c>
      <c r="D34" s="17">
        <f>SLN(B28,B29,B30)</f>
        <v>9000</v>
      </c>
      <c r="E34" s="3" t="s">
        <v>512</v>
      </c>
    </row>
    <row r="35" spans="1:5" ht="50" x14ac:dyDescent="0.35">
      <c r="A35" s="3" t="s">
        <v>513</v>
      </c>
      <c r="B35" s="7" t="s">
        <v>514</v>
      </c>
      <c r="C35" s="7" t="s">
        <v>515</v>
      </c>
      <c r="D35" s="17">
        <f>DB(B28,B29,B30,B31)</f>
        <v>18450</v>
      </c>
      <c r="E35" s="3" t="s">
        <v>516</v>
      </c>
    </row>
    <row r="36" spans="1:5" ht="50" x14ac:dyDescent="0.35">
      <c r="A36" s="3" t="s">
        <v>517</v>
      </c>
      <c r="B36" s="7" t="s">
        <v>518</v>
      </c>
      <c r="C36" s="7" t="s">
        <v>519</v>
      </c>
      <c r="D36" s="17">
        <f>DDB(B28,B29,B30,B31)</f>
        <v>20000</v>
      </c>
      <c r="E36" s="3" t="s">
        <v>520</v>
      </c>
    </row>
    <row r="37" spans="1:5" ht="50" x14ac:dyDescent="0.35">
      <c r="A37" s="3" t="s">
        <v>521</v>
      </c>
      <c r="B37" s="7" t="s">
        <v>522</v>
      </c>
      <c r="C37" s="7" t="s">
        <v>523</v>
      </c>
      <c r="D37" s="17">
        <f>SYD(B28,B29,B30,B31)</f>
        <v>15000</v>
      </c>
      <c r="E37" s="3" t="s">
        <v>524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C875-E5EB-9248-BD57-B77B7F44ECED}">
  <sheetPr>
    <tabColor rgb="FF0070C0"/>
  </sheetPr>
  <dimension ref="A1:I45"/>
  <sheetViews>
    <sheetView tabSelected="1" workbookViewId="0">
      <pane ySplit="7" topLeftCell="A38" activePane="bottomLeft" state="frozen"/>
      <selection pane="bottomLeft" activeCell="B46" sqref="B46"/>
    </sheetView>
  </sheetViews>
  <sheetFormatPr baseColWidth="10" defaultColWidth="24" defaultRowHeight="27" x14ac:dyDescent="0.35"/>
  <cols>
    <col min="1" max="1" width="33" style="29" customWidth="1"/>
    <col min="2" max="2" width="38.33203125" style="29" customWidth="1"/>
    <col min="3" max="3" width="41.6640625" style="29" customWidth="1"/>
    <col min="4" max="4" width="15" style="29" customWidth="1"/>
    <col min="5" max="5" width="50" style="29" customWidth="1"/>
    <col min="6" max="16384" width="24" style="29"/>
  </cols>
  <sheetData>
    <row r="1" spans="1:9" ht="32" customHeight="1" x14ac:dyDescent="0.35">
      <c r="A1" s="27" t="s">
        <v>247</v>
      </c>
      <c r="B1" s="27"/>
      <c r="C1" s="27"/>
      <c r="D1" s="27"/>
      <c r="E1" s="27"/>
      <c r="F1" s="28"/>
      <c r="G1" s="28"/>
      <c r="H1" s="28"/>
      <c r="I1" s="28"/>
    </row>
    <row r="2" spans="1:9" x14ac:dyDescent="0.35">
      <c r="A2" s="28"/>
      <c r="B2" s="28"/>
      <c r="C2" s="28"/>
      <c r="D2" s="28"/>
      <c r="E2" s="28"/>
      <c r="F2" s="28"/>
      <c r="G2" s="28"/>
      <c r="H2" s="28"/>
      <c r="I2" s="28"/>
    </row>
    <row r="3" spans="1:9" ht="84" x14ac:dyDescent="0.35">
      <c r="A3" s="30" t="s">
        <v>248</v>
      </c>
      <c r="B3" s="28"/>
      <c r="C3" s="28"/>
      <c r="D3" s="28"/>
      <c r="E3" s="28"/>
      <c r="F3" s="28"/>
      <c r="G3" s="28"/>
      <c r="H3" s="28"/>
      <c r="I3" s="28"/>
    </row>
    <row r="4" spans="1:9" ht="28" x14ac:dyDescent="0.35">
      <c r="A4" s="31" t="s">
        <v>249</v>
      </c>
      <c r="B4" s="32">
        <v>2.1</v>
      </c>
      <c r="C4" s="32">
        <v>-1.4</v>
      </c>
      <c r="D4" s="32">
        <v>3.8</v>
      </c>
      <c r="E4" s="32">
        <v>0.9</v>
      </c>
      <c r="F4" s="32">
        <v>5.2</v>
      </c>
      <c r="G4" s="32">
        <v>-2.7</v>
      </c>
      <c r="H4" s="32">
        <v>4.4000000000000004</v>
      </c>
      <c r="I4" s="32">
        <v>1.6</v>
      </c>
    </row>
    <row r="5" spans="1:9" ht="28" x14ac:dyDescent="0.35">
      <c r="A5" s="31" t="s">
        <v>250</v>
      </c>
      <c r="B5" s="32">
        <v>120</v>
      </c>
      <c r="C5" s="32">
        <v>135</v>
      </c>
      <c r="D5" s="32">
        <v>150</v>
      </c>
      <c r="E5" s="32">
        <v>162</v>
      </c>
      <c r="F5" s="32">
        <v>158</v>
      </c>
      <c r="G5" s="32">
        <v>175</v>
      </c>
      <c r="H5" s="32">
        <v>190</v>
      </c>
      <c r="I5" s="32">
        <v>205</v>
      </c>
    </row>
    <row r="6" spans="1:9" x14ac:dyDescent="0.35">
      <c r="A6" s="28"/>
      <c r="B6" s="28"/>
      <c r="C6" s="28"/>
      <c r="D6" s="28"/>
      <c r="E6" s="28"/>
      <c r="F6" s="28"/>
      <c r="G6" s="28"/>
      <c r="H6" s="28"/>
      <c r="I6" s="28"/>
    </row>
    <row r="7" spans="1:9" ht="28" x14ac:dyDescent="0.35">
      <c r="A7" s="33" t="s">
        <v>5</v>
      </c>
      <c r="B7" s="33" t="s">
        <v>6</v>
      </c>
      <c r="C7" s="33" t="s">
        <v>7</v>
      </c>
      <c r="D7" s="33" t="s">
        <v>8</v>
      </c>
      <c r="E7" s="33" t="s">
        <v>9</v>
      </c>
      <c r="F7" s="28"/>
      <c r="G7" s="28"/>
      <c r="H7" s="28"/>
      <c r="I7" s="28"/>
    </row>
    <row r="8" spans="1:9" ht="28" x14ac:dyDescent="0.35">
      <c r="A8" s="28" t="s">
        <v>251</v>
      </c>
      <c r="B8" s="34" t="s">
        <v>252</v>
      </c>
      <c r="C8" s="34" t="s">
        <v>253</v>
      </c>
      <c r="D8" s="28">
        <f>COUNT(B4:I4)</f>
        <v>8</v>
      </c>
      <c r="E8" s="28" t="s">
        <v>254</v>
      </c>
      <c r="F8" s="28"/>
      <c r="G8" s="28"/>
      <c r="H8" s="28"/>
      <c r="I8" s="28"/>
    </row>
    <row r="9" spans="1:9" ht="28" x14ac:dyDescent="0.35">
      <c r="A9" s="28" t="s">
        <v>255</v>
      </c>
      <c r="B9" s="34" t="s">
        <v>256</v>
      </c>
      <c r="C9" s="34" t="s">
        <v>257</v>
      </c>
      <c r="D9" s="28">
        <f>COUNTA(A4:I4)</f>
        <v>9</v>
      </c>
      <c r="E9" s="28" t="s">
        <v>258</v>
      </c>
      <c r="F9" s="28"/>
      <c r="G9" s="28"/>
      <c r="H9" s="28"/>
      <c r="I9" s="28"/>
    </row>
    <row r="10" spans="1:9" ht="28" x14ac:dyDescent="0.35">
      <c r="A10" s="28" t="s">
        <v>259</v>
      </c>
      <c r="B10" s="34" t="s">
        <v>260</v>
      </c>
      <c r="C10" s="34" t="s">
        <v>261</v>
      </c>
      <c r="D10" s="35">
        <f>_xlfn.STDEV.S(B4:I4)</f>
        <v>2.7702178872531205</v>
      </c>
      <c r="E10" s="28" t="s">
        <v>262</v>
      </c>
      <c r="F10" s="28"/>
      <c r="G10" s="28"/>
      <c r="H10" s="28"/>
      <c r="I10" s="28"/>
    </row>
    <row r="11" spans="1:9" ht="28" x14ac:dyDescent="0.35">
      <c r="A11" s="28" t="s">
        <v>263</v>
      </c>
      <c r="B11" s="34" t="s">
        <v>264</v>
      </c>
      <c r="C11" s="34" t="s">
        <v>265</v>
      </c>
      <c r="D11" s="35">
        <f>_xlfn.STDEV.P(B4:I4)</f>
        <v>2.591301555203485</v>
      </c>
      <c r="E11" s="28" t="s">
        <v>266</v>
      </c>
      <c r="F11" s="28"/>
      <c r="G11" s="28"/>
      <c r="H11" s="28"/>
      <c r="I11" s="28"/>
    </row>
    <row r="12" spans="1:9" ht="28" x14ac:dyDescent="0.35">
      <c r="A12" s="28" t="s">
        <v>267</v>
      </c>
      <c r="B12" s="34" t="s">
        <v>268</v>
      </c>
      <c r="C12" s="34" t="s">
        <v>269</v>
      </c>
      <c r="D12" s="35">
        <f>_xlfn.VAR.S(B4:I4)</f>
        <v>7.6741071428571432</v>
      </c>
      <c r="E12" s="28" t="s">
        <v>270</v>
      </c>
      <c r="F12" s="28"/>
      <c r="G12" s="28"/>
      <c r="H12" s="28"/>
      <c r="I12" s="28"/>
    </row>
    <row r="13" spans="1:9" ht="56" x14ac:dyDescent="0.35">
      <c r="A13" s="28" t="s">
        <v>271</v>
      </c>
      <c r="B13" s="34" t="s">
        <v>272</v>
      </c>
      <c r="C13" s="34" t="s">
        <v>273</v>
      </c>
      <c r="D13" s="36">
        <f>_xlfn.PERCENTILE.INC(B5:I5,0.9)</f>
        <v>194.5</v>
      </c>
      <c r="E13" s="28" t="s">
        <v>274</v>
      </c>
      <c r="F13" s="28"/>
      <c r="G13" s="28"/>
      <c r="H13" s="28"/>
      <c r="I13" s="28"/>
    </row>
    <row r="14" spans="1:9" ht="28" x14ac:dyDescent="0.35">
      <c r="A14" s="28" t="s">
        <v>275</v>
      </c>
      <c r="B14" s="34" t="s">
        <v>276</v>
      </c>
      <c r="C14" s="34" t="s">
        <v>277</v>
      </c>
      <c r="D14" s="36">
        <f>_xlfn.QUARTILE.INC(B5:I5,3)</f>
        <v>178.75</v>
      </c>
      <c r="E14" s="28" t="s">
        <v>278</v>
      </c>
      <c r="F14" s="28"/>
      <c r="G14" s="28"/>
      <c r="H14" s="28"/>
      <c r="I14" s="28"/>
    </row>
    <row r="15" spans="1:9" ht="28" x14ac:dyDescent="0.35">
      <c r="A15" s="28" t="s">
        <v>279</v>
      </c>
      <c r="B15" s="34" t="s">
        <v>280</v>
      </c>
      <c r="C15" s="34" t="s">
        <v>281</v>
      </c>
      <c r="D15" s="28">
        <f>_xlfn.RANK.EQ(F4,B4:I4)</f>
        <v>1</v>
      </c>
      <c r="E15" s="28" t="s">
        <v>282</v>
      </c>
      <c r="F15" s="28"/>
      <c r="G15" s="28"/>
      <c r="H15" s="28"/>
      <c r="I15" s="28"/>
    </row>
    <row r="16" spans="1:9" ht="28" x14ac:dyDescent="0.35">
      <c r="A16" s="28" t="s">
        <v>283</v>
      </c>
      <c r="B16" s="34" t="s">
        <v>284</v>
      </c>
      <c r="C16" s="34" t="s">
        <v>285</v>
      </c>
      <c r="D16" s="36">
        <f>LARGE(B4:I4,2)</f>
        <v>4.4000000000000004</v>
      </c>
      <c r="E16" s="28" t="s">
        <v>286</v>
      </c>
      <c r="F16" s="28"/>
      <c r="G16" s="28"/>
      <c r="H16" s="28"/>
      <c r="I16" s="28"/>
    </row>
    <row r="17" spans="1:9" ht="28" x14ac:dyDescent="0.35">
      <c r="A17" s="28" t="s">
        <v>287</v>
      </c>
      <c r="B17" s="34" t="s">
        <v>288</v>
      </c>
      <c r="C17" s="34" t="s">
        <v>289</v>
      </c>
      <c r="D17" s="36">
        <f>SMALL(B4:I4,2)</f>
        <v>-1.4</v>
      </c>
      <c r="E17" s="28" t="s">
        <v>290</v>
      </c>
      <c r="F17" s="28"/>
      <c r="G17" s="28"/>
      <c r="H17" s="28"/>
      <c r="I17" s="28"/>
    </row>
    <row r="18" spans="1:9" ht="56" x14ac:dyDescent="0.35">
      <c r="A18" s="28" t="s">
        <v>291</v>
      </c>
      <c r="B18" s="34" t="s">
        <v>292</v>
      </c>
      <c r="C18" s="34" t="s">
        <v>293</v>
      </c>
      <c r="D18" s="36" t="str">
        <f>IFERROR(_xlfn.MODE.SNGL(B4:I4),"no repeat")</f>
        <v>no repeat</v>
      </c>
      <c r="E18" s="28" t="s">
        <v>294</v>
      </c>
      <c r="F18" s="28"/>
      <c r="G18" s="28"/>
      <c r="H18" s="28"/>
      <c r="I18" s="28"/>
    </row>
    <row r="19" spans="1:9" ht="28" x14ac:dyDescent="0.35">
      <c r="A19" s="28" t="s">
        <v>295</v>
      </c>
      <c r="B19" s="34" t="s">
        <v>296</v>
      </c>
      <c r="C19" s="34" t="s">
        <v>297</v>
      </c>
      <c r="D19" s="35">
        <f>CORREL(B4:I4,B5:I5)</f>
        <v>7.7287698452881345E-2</v>
      </c>
      <c r="E19" s="28" t="s">
        <v>298</v>
      </c>
      <c r="F19" s="28"/>
      <c r="G19" s="28"/>
      <c r="H19" s="28"/>
      <c r="I19" s="28"/>
    </row>
    <row r="20" spans="1:9" ht="28" x14ac:dyDescent="0.35">
      <c r="A20" s="28" t="s">
        <v>299</v>
      </c>
      <c r="B20" s="34" t="s">
        <v>300</v>
      </c>
      <c r="C20" s="34" t="s">
        <v>301</v>
      </c>
      <c r="D20" s="35">
        <f>SLOPE(B5:I5,B4:I4)</f>
        <v>0.77882489819662626</v>
      </c>
      <c r="E20" s="28" t="s">
        <v>302</v>
      </c>
      <c r="F20" s="28"/>
      <c r="G20" s="28"/>
      <c r="H20" s="28"/>
      <c r="I20" s="28"/>
    </row>
    <row r="21" spans="1:9" ht="56" x14ac:dyDescent="0.35">
      <c r="A21" s="28" t="s">
        <v>303</v>
      </c>
      <c r="B21" s="34" t="s">
        <v>304</v>
      </c>
      <c r="C21" s="34" t="s">
        <v>305</v>
      </c>
      <c r="D21" s="36">
        <f>_xlfn.FORECAST.LINEAR(3,B5:I5,B4:I4)</f>
        <v>162.85826643397323</v>
      </c>
      <c r="E21" s="28" t="s">
        <v>306</v>
      </c>
      <c r="F21" s="28"/>
      <c r="G21" s="28"/>
      <c r="H21" s="28"/>
      <c r="I21" s="28"/>
    </row>
    <row r="22" spans="1:9" ht="56" x14ac:dyDescent="0.35">
      <c r="A22" s="28" t="s">
        <v>570</v>
      </c>
      <c r="B22" s="34" t="s">
        <v>571</v>
      </c>
      <c r="C22" s="34" t="s">
        <v>572</v>
      </c>
      <c r="D22" s="35">
        <f>INDEX(LINEST(B5:I5,B4:I4),1,1)</f>
        <v>0.77882489819662537</v>
      </c>
      <c r="E22" s="28" t="s">
        <v>573</v>
      </c>
      <c r="F22" s="28"/>
      <c r="G22" s="28"/>
      <c r="H22" s="28"/>
      <c r="I22" s="28"/>
    </row>
    <row r="23" spans="1:9" ht="56" x14ac:dyDescent="0.35">
      <c r="A23" s="28" t="s">
        <v>574</v>
      </c>
      <c r="B23" s="34" t="s">
        <v>575</v>
      </c>
      <c r="C23" s="34" t="s">
        <v>576</v>
      </c>
      <c r="D23" s="35">
        <f>INDEX(LINEST(B5:I5,B4:I4),1,2)</f>
        <v>160.52179173938336</v>
      </c>
      <c r="E23" s="28" t="s">
        <v>577</v>
      </c>
      <c r="F23" s="28"/>
      <c r="G23" s="28"/>
      <c r="H23" s="28"/>
      <c r="I23" s="28"/>
    </row>
    <row r="24" spans="1:9" ht="56" x14ac:dyDescent="0.35">
      <c r="A24" s="28" t="s">
        <v>578</v>
      </c>
      <c r="B24" s="34" t="s">
        <v>579</v>
      </c>
      <c r="C24" s="34" t="s">
        <v>580</v>
      </c>
      <c r="D24" s="37">
        <f>INDEX(LINEST(B5:I5,B4:I4,TRUE,TRUE),3,1)</f>
        <v>5.9733883321436152E-3</v>
      </c>
      <c r="E24" s="28" t="s">
        <v>581</v>
      </c>
      <c r="F24" s="28"/>
      <c r="G24" s="28"/>
      <c r="H24" s="28"/>
      <c r="I24" s="28"/>
    </row>
    <row r="25" spans="1:9" ht="56" x14ac:dyDescent="0.35">
      <c r="A25" s="28" t="s">
        <v>582</v>
      </c>
      <c r="B25" s="34"/>
      <c r="C25" s="34"/>
      <c r="D25" s="35"/>
      <c r="E25" s="28" t="s">
        <v>583</v>
      </c>
      <c r="F25" s="28"/>
      <c r="G25" s="28"/>
      <c r="H25" s="28"/>
      <c r="I25" s="28"/>
    </row>
    <row r="27" spans="1:9" x14ac:dyDescent="0.35">
      <c r="A27" s="38" t="s">
        <v>584</v>
      </c>
      <c r="B27" s="39" cm="1">
        <f t="array" ref="B27:C31">LINEST(B5:I5,B4:I4,TRUE,TRUE)</f>
        <v>0.77882489819662537</v>
      </c>
      <c r="C27" s="39">
        <v>160.52179173938336</v>
      </c>
      <c r="D27" s="40" t="s">
        <v>585</v>
      </c>
      <c r="E27" s="26"/>
    </row>
    <row r="28" spans="1:9" x14ac:dyDescent="0.35">
      <c r="B28" s="39">
        <v>4.1015955458275846</v>
      </c>
      <c r="C28" s="39">
        <v>12.796550846313563</v>
      </c>
      <c r="D28" s="40" t="s">
        <v>586</v>
      </c>
      <c r="E28" s="26"/>
    </row>
    <row r="29" spans="1:9" x14ac:dyDescent="0.35">
      <c r="B29" s="39">
        <v>5.9733883321436152E-3</v>
      </c>
      <c r="C29" s="39">
        <v>30.061855435423194</v>
      </c>
      <c r="D29" s="40" t="s">
        <v>587</v>
      </c>
      <c r="E29" s="26"/>
    </row>
    <row r="30" spans="1:9" x14ac:dyDescent="0.35">
      <c r="B30" s="39">
        <v>3.6055704718735801E-2</v>
      </c>
      <c r="C30" s="39">
        <v>6</v>
      </c>
      <c r="D30" s="40" t="s">
        <v>588</v>
      </c>
      <c r="E30" s="26"/>
    </row>
    <row r="31" spans="1:9" x14ac:dyDescent="0.35">
      <c r="B31" s="39">
        <v>32.584086678301901</v>
      </c>
      <c r="C31" s="39">
        <v>5422.2909133216981</v>
      </c>
      <c r="D31" s="40" t="s">
        <v>589</v>
      </c>
      <c r="E31" s="26"/>
    </row>
    <row r="34" spans="1:9" x14ac:dyDescent="0.35">
      <c r="A34" s="27" t="s">
        <v>590</v>
      </c>
      <c r="B34" s="27"/>
      <c r="C34" s="27"/>
      <c r="D34" s="27"/>
      <c r="E34" s="27"/>
    </row>
    <row r="36" spans="1:9" ht="28" x14ac:dyDescent="0.35">
      <c r="A36" s="33" t="s">
        <v>5</v>
      </c>
      <c r="B36" s="33" t="s">
        <v>6</v>
      </c>
      <c r="C36" s="33" t="s">
        <v>7</v>
      </c>
      <c r="D36" s="33" t="s">
        <v>8</v>
      </c>
      <c r="E36" s="33" t="s">
        <v>9</v>
      </c>
    </row>
    <row r="37" spans="1:9" ht="56" x14ac:dyDescent="0.35">
      <c r="A37" s="28" t="s">
        <v>591</v>
      </c>
      <c r="B37" s="34" t="s">
        <v>592</v>
      </c>
      <c r="C37" s="34" t="s">
        <v>593</v>
      </c>
      <c r="D37" s="37">
        <f>_xlfn.NORM.DIST(160,AVERAGE(B5:I5),_xlfn.STDEV.S(B5:I5),TRUE)</f>
        <v>0.47322425858499539</v>
      </c>
      <c r="E37" s="28" t="s">
        <v>594</v>
      </c>
      <c r="F37" s="28"/>
      <c r="G37" s="28"/>
      <c r="H37" s="28"/>
      <c r="I37" s="28"/>
    </row>
    <row r="38" spans="1:9" ht="56" x14ac:dyDescent="0.35">
      <c r="A38" s="28" t="s">
        <v>595</v>
      </c>
      <c r="B38" s="34" t="s">
        <v>596</v>
      </c>
      <c r="C38" s="34" t="s">
        <v>597</v>
      </c>
      <c r="D38" s="35">
        <f>_xlfn.NORM.INV(0.9,AVERAGE(B5:I5),_xlfn.STDEV.S(B5:I5))</f>
        <v>197.64998555024238</v>
      </c>
      <c r="E38" s="28" t="s">
        <v>598</v>
      </c>
      <c r="F38" s="28"/>
      <c r="G38" s="28"/>
      <c r="H38" s="28"/>
      <c r="I38" s="28"/>
    </row>
    <row r="39" spans="1:9" ht="56" x14ac:dyDescent="0.35">
      <c r="A39" s="28" t="s">
        <v>599</v>
      </c>
      <c r="B39" s="34" t="s">
        <v>600</v>
      </c>
      <c r="C39" s="34" t="s">
        <v>601</v>
      </c>
      <c r="D39" s="37">
        <f>_xlfn.NORM.S.DIST(1.5,TRUE)</f>
        <v>0.93319279873114191</v>
      </c>
      <c r="E39" s="28" t="s">
        <v>602</v>
      </c>
      <c r="F39" s="28"/>
      <c r="G39" s="28"/>
      <c r="H39" s="28"/>
      <c r="I39" s="28"/>
    </row>
    <row r="40" spans="1:9" ht="28" x14ac:dyDescent="0.35">
      <c r="A40" s="28" t="s">
        <v>603</v>
      </c>
      <c r="B40" s="34" t="s">
        <v>604</v>
      </c>
      <c r="C40" s="34" t="s">
        <v>605</v>
      </c>
      <c r="D40" s="37">
        <f>_xlfn.NORM.S.INV(0.975)</f>
        <v>1.9599639845400536</v>
      </c>
      <c r="E40" s="28" t="s">
        <v>606</v>
      </c>
      <c r="F40" s="28"/>
      <c r="G40" s="28"/>
      <c r="H40" s="28"/>
      <c r="I40" s="28"/>
    </row>
    <row r="41" spans="1:9" ht="56" x14ac:dyDescent="0.35">
      <c r="A41" s="28" t="s">
        <v>607</v>
      </c>
      <c r="B41" s="34" t="s">
        <v>608</v>
      </c>
      <c r="C41" s="34" t="s">
        <v>609</v>
      </c>
      <c r="D41" s="37">
        <f>STANDARDIZE(160,AVERAGE(B5:I5),_xlfn.STDEV.S(B5:I5))</f>
        <v>-6.7167299956599036E-2</v>
      </c>
      <c r="E41" s="28" t="s">
        <v>610</v>
      </c>
      <c r="F41" s="28"/>
      <c r="G41" s="28"/>
      <c r="H41" s="28"/>
      <c r="I41" s="28"/>
    </row>
    <row r="42" spans="1:9" ht="56" x14ac:dyDescent="0.35">
      <c r="A42" s="28" t="s">
        <v>611</v>
      </c>
      <c r="B42" s="34" t="s">
        <v>612</v>
      </c>
      <c r="C42" s="34" t="s">
        <v>613</v>
      </c>
      <c r="D42" s="37">
        <f>_xlfn.BINOM.DIST(3,10,0.5,FALSE)</f>
        <v>0.11718750000000003</v>
      </c>
      <c r="E42" s="28" t="s">
        <v>614</v>
      </c>
      <c r="F42" s="28"/>
      <c r="G42" s="28"/>
      <c r="H42" s="28"/>
      <c r="I42" s="28"/>
    </row>
    <row r="43" spans="1:9" ht="56" x14ac:dyDescent="0.35">
      <c r="A43" s="28" t="s">
        <v>615</v>
      </c>
      <c r="B43" s="34" t="s">
        <v>616</v>
      </c>
      <c r="C43" s="34" t="s">
        <v>617</v>
      </c>
      <c r="D43" s="37">
        <f>_xlfn.POISSON.DIST(4,3,FALSE)</f>
        <v>0.16803135574154085</v>
      </c>
      <c r="E43" s="28" t="s">
        <v>618</v>
      </c>
      <c r="F43" s="28"/>
      <c r="G43" s="28"/>
      <c r="H43" s="28"/>
      <c r="I43" s="28"/>
    </row>
    <row r="44" spans="1:9" ht="56" x14ac:dyDescent="0.35">
      <c r="A44" s="28" t="s">
        <v>619</v>
      </c>
      <c r="B44" s="34" t="s">
        <v>620</v>
      </c>
      <c r="C44" s="34" t="s">
        <v>621</v>
      </c>
      <c r="D44" s="37">
        <f>_xlfn.EXPON.DIST(2,0.5,TRUE)</f>
        <v>0.63212055882855767</v>
      </c>
      <c r="E44" s="28" t="s">
        <v>622</v>
      </c>
      <c r="F44" s="28"/>
      <c r="G44" s="28"/>
      <c r="H44" s="28"/>
      <c r="I44" s="28"/>
    </row>
    <row r="45" spans="1:9" ht="56" x14ac:dyDescent="0.35">
      <c r="A45" s="28" t="s">
        <v>623</v>
      </c>
      <c r="B45" s="34" t="s">
        <v>624</v>
      </c>
      <c r="C45" s="34" t="s">
        <v>625</v>
      </c>
      <c r="D45" s="35">
        <f>_xlfn.CONFIDENCE.NORM(0.05,_xlfn.STDEV.S(B5:I5),COUNT(B5:I5))</f>
        <v>19.344008709109509</v>
      </c>
      <c r="E45" s="28" t="s">
        <v>626</v>
      </c>
      <c r="F45" s="28"/>
      <c r="G45" s="28"/>
      <c r="H45" s="28"/>
      <c r="I45" s="28"/>
    </row>
  </sheetData>
  <mergeCells count="2">
    <mergeCell ref="A1:E1"/>
    <mergeCell ref="A34:E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6A6E-2086-914F-8A2A-127AD61070DF}">
  <sheetPr>
    <tabColor rgb="FFBF8F00"/>
  </sheetPr>
  <dimension ref="A1:E22"/>
  <sheetViews>
    <sheetView workbookViewId="0">
      <pane ySplit="10" topLeftCell="A11" activePane="bottomLeft" state="frozen"/>
      <selection pane="bottomLeft" activeCell="B28" sqref="B28"/>
    </sheetView>
  </sheetViews>
  <sheetFormatPr baseColWidth="10" defaultRowHeight="27" x14ac:dyDescent="0.35"/>
  <cols>
    <col min="1" max="1" width="18.33203125" style="1" customWidth="1"/>
    <col min="2" max="2" width="38.33203125" style="1" customWidth="1"/>
    <col min="3" max="3" width="41.6640625" style="1" customWidth="1"/>
    <col min="4" max="4" width="15" style="1" customWidth="1"/>
    <col min="5" max="5" width="50" style="1" customWidth="1"/>
    <col min="6" max="16384" width="10.83203125" style="1"/>
  </cols>
  <sheetData>
    <row r="1" spans="1:5" ht="32" customHeight="1" x14ac:dyDescent="0.35">
      <c r="A1" s="24" t="s">
        <v>307</v>
      </c>
      <c r="B1" s="25"/>
      <c r="C1" s="25"/>
      <c r="D1" s="25"/>
      <c r="E1" s="25"/>
    </row>
    <row r="2" spans="1:5" x14ac:dyDescent="0.35">
      <c r="A2" s="3"/>
      <c r="B2" s="3"/>
      <c r="C2" s="3"/>
      <c r="D2" s="3"/>
      <c r="E2" s="3"/>
    </row>
    <row r="3" spans="1:5" x14ac:dyDescent="0.35">
      <c r="A3" s="4" t="s">
        <v>1</v>
      </c>
      <c r="B3" s="3"/>
      <c r="C3" s="3"/>
      <c r="D3" s="3"/>
      <c r="E3" s="3"/>
    </row>
    <row r="4" spans="1:5" x14ac:dyDescent="0.35">
      <c r="A4" s="3" t="s">
        <v>308</v>
      </c>
      <c r="B4" s="5" t="s">
        <v>309</v>
      </c>
      <c r="C4" s="3"/>
      <c r="D4" s="3"/>
      <c r="E4" s="3"/>
    </row>
    <row r="5" spans="1:5" x14ac:dyDescent="0.35">
      <c r="A5" s="3" t="s">
        <v>310</v>
      </c>
      <c r="B5" s="5" t="s">
        <v>311</v>
      </c>
      <c r="C5" s="3"/>
      <c r="D5" s="3"/>
      <c r="E5" s="3"/>
    </row>
    <row r="6" spans="1:5" x14ac:dyDescent="0.35">
      <c r="A6" s="3" t="s">
        <v>312</v>
      </c>
      <c r="B6" s="5">
        <v>1250.75</v>
      </c>
      <c r="C6" s="3"/>
      <c r="D6" s="3"/>
      <c r="E6" s="3"/>
    </row>
    <row r="7" spans="1:5" x14ac:dyDescent="0.35">
      <c r="A7" s="3" t="s">
        <v>313</v>
      </c>
      <c r="B7" s="5" t="s">
        <v>314</v>
      </c>
      <c r="C7" s="3"/>
      <c r="D7" s="3"/>
      <c r="E7" s="3"/>
    </row>
    <row r="8" spans="1:5" x14ac:dyDescent="0.35">
      <c r="A8" s="3" t="s">
        <v>315</v>
      </c>
      <c r="B8" s="5">
        <v>0.48230000000000001</v>
      </c>
      <c r="C8" s="3"/>
      <c r="D8" s="3"/>
      <c r="E8" s="3"/>
    </row>
    <row r="9" spans="1:5" x14ac:dyDescent="0.35">
      <c r="A9" s="3"/>
      <c r="B9" s="3"/>
      <c r="C9" s="3"/>
      <c r="D9" s="3"/>
      <c r="E9" s="3"/>
    </row>
    <row r="10" spans="1:5" x14ac:dyDescent="0.35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 x14ac:dyDescent="0.35">
      <c r="A11" s="3" t="s">
        <v>316</v>
      </c>
      <c r="B11" s="7" t="s">
        <v>317</v>
      </c>
      <c r="C11" s="7" t="s">
        <v>318</v>
      </c>
      <c r="D11" s="3" t="str">
        <f>TRIM(B4)</f>
        <v>Acme Corp</v>
      </c>
      <c r="E11" s="3" t="s">
        <v>319</v>
      </c>
    </row>
    <row r="12" spans="1:5" x14ac:dyDescent="0.35">
      <c r="A12" s="3" t="s">
        <v>320</v>
      </c>
      <c r="B12" s="7" t="s">
        <v>321</v>
      </c>
      <c r="C12" s="7" t="s">
        <v>322</v>
      </c>
      <c r="D12" s="3">
        <f>LEN(TRIM(B4))</f>
        <v>9</v>
      </c>
      <c r="E12" s="3" t="s">
        <v>323</v>
      </c>
    </row>
    <row r="13" spans="1:5" x14ac:dyDescent="0.35">
      <c r="A13" s="3" t="s">
        <v>324</v>
      </c>
      <c r="B13" s="7" t="s">
        <v>325</v>
      </c>
      <c r="C13" s="7" t="s">
        <v>326</v>
      </c>
      <c r="D13" s="3" t="str">
        <f>LEFT(B7,5)</f>
        <v>Smith</v>
      </c>
      <c r="E13" s="3" t="s">
        <v>327</v>
      </c>
    </row>
    <row r="14" spans="1:5" x14ac:dyDescent="0.35">
      <c r="A14" s="3" t="s">
        <v>328</v>
      </c>
      <c r="B14" s="7" t="s">
        <v>329</v>
      </c>
      <c r="C14" s="7" t="s">
        <v>330</v>
      </c>
      <c r="D14" s="3" t="str">
        <f>RIGHT(B6,2)</f>
        <v>75</v>
      </c>
      <c r="E14" s="3" t="s">
        <v>331</v>
      </c>
    </row>
    <row r="15" spans="1:5" x14ac:dyDescent="0.35">
      <c r="A15" s="3" t="s">
        <v>332</v>
      </c>
      <c r="B15" s="7" t="s">
        <v>333</v>
      </c>
      <c r="C15" s="7" t="s">
        <v>334</v>
      </c>
      <c r="D15" s="3" t="str">
        <f>MID(B7,8,4)</f>
        <v>Jane</v>
      </c>
      <c r="E15" s="3" t="s">
        <v>335</v>
      </c>
    </row>
    <row r="16" spans="1:5" x14ac:dyDescent="0.35">
      <c r="A16" s="3" t="s">
        <v>336</v>
      </c>
      <c r="B16" s="7" t="s">
        <v>337</v>
      </c>
      <c r="C16" s="7" t="s">
        <v>338</v>
      </c>
      <c r="D16" s="3" t="str">
        <f>UPPER(B5)</f>
        <v>ACME</v>
      </c>
      <c r="E16" s="3" t="s">
        <v>339</v>
      </c>
    </row>
    <row r="17" spans="1:5" x14ac:dyDescent="0.35">
      <c r="A17" s="3" t="s">
        <v>340</v>
      </c>
      <c r="B17" s="7" t="s">
        <v>341</v>
      </c>
      <c r="C17" s="7" t="s">
        <v>342</v>
      </c>
      <c r="D17" s="3" t="str">
        <f>PROPER(B5)</f>
        <v>Acme</v>
      </c>
      <c r="E17" s="3" t="s">
        <v>343</v>
      </c>
    </row>
    <row r="18" spans="1:5" x14ac:dyDescent="0.35">
      <c r="A18" s="3" t="s">
        <v>344</v>
      </c>
      <c r="B18" s="7" t="s">
        <v>345</v>
      </c>
      <c r="C18" s="7" t="s">
        <v>346</v>
      </c>
      <c r="D18" s="3">
        <f>FIND(",",B7)</f>
        <v>6</v>
      </c>
      <c r="E18" s="3" t="s">
        <v>347</v>
      </c>
    </row>
    <row r="19" spans="1:5" x14ac:dyDescent="0.35">
      <c r="A19" s="3" t="s">
        <v>348</v>
      </c>
      <c r="B19" s="7" t="s">
        <v>349</v>
      </c>
      <c r="C19" s="7" t="s">
        <v>350</v>
      </c>
      <c r="D19" s="3" t="str">
        <f>TRIM(SUBSTITUTE(B4,"Corp","Inc"))</f>
        <v>Acme Inc</v>
      </c>
      <c r="E19" s="3" t="s">
        <v>351</v>
      </c>
    </row>
    <row r="20" spans="1:5" ht="50" x14ac:dyDescent="0.35">
      <c r="A20" s="3" t="s">
        <v>352</v>
      </c>
      <c r="B20" s="7" t="s">
        <v>353</v>
      </c>
      <c r="C20" s="7" t="s">
        <v>354</v>
      </c>
      <c r="D20" s="3" t="str">
        <f>_xlfn.TEXTJOIN(" - ",TRUE,B5,B6)</f>
        <v>acme - 1250.75</v>
      </c>
      <c r="E20" s="3" t="s">
        <v>355</v>
      </c>
    </row>
    <row r="21" spans="1:5" x14ac:dyDescent="0.35">
      <c r="A21" s="3" t="s">
        <v>356</v>
      </c>
      <c r="B21" s="7" t="s">
        <v>357</v>
      </c>
      <c r="C21" s="7" t="s">
        <v>358</v>
      </c>
      <c r="D21" s="3" t="str">
        <f>TEXT(B8,"0.0%")</f>
        <v>48.2%</v>
      </c>
      <c r="E21" s="3" t="s">
        <v>359</v>
      </c>
    </row>
    <row r="22" spans="1:5" x14ac:dyDescent="0.35">
      <c r="A22" s="3" t="s">
        <v>360</v>
      </c>
      <c r="B22" s="7" t="s">
        <v>361</v>
      </c>
      <c r="C22" s="7" t="s">
        <v>362</v>
      </c>
      <c r="D22" s="13">
        <f>VALUE(B6)</f>
        <v>1250.75</v>
      </c>
      <c r="E22" s="3" t="s">
        <v>363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FC2-E714-E642-A410-807B4797F980}">
  <sheetPr>
    <tabColor rgb="FF385723"/>
  </sheetPr>
  <dimension ref="A1:L41"/>
  <sheetViews>
    <sheetView workbookViewId="0">
      <pane ySplit="4" topLeftCell="A24" activePane="bottomLeft" state="frozen"/>
      <selection pane="bottomLeft" activeCell="F31" sqref="F31"/>
    </sheetView>
  </sheetViews>
  <sheetFormatPr baseColWidth="10" defaultRowHeight="29" x14ac:dyDescent="0.35"/>
  <cols>
    <col min="1" max="2" width="11.6640625" style="2" customWidth="1"/>
    <col min="3" max="3" width="3.33203125" style="2" customWidth="1"/>
    <col min="4" max="4" width="18.33203125" style="2" customWidth="1"/>
    <col min="5" max="5" width="41.6640625" style="2" customWidth="1"/>
    <col min="6" max="6" width="40.6640625" style="2" customWidth="1"/>
    <col min="7" max="7" width="50" style="2" customWidth="1"/>
    <col min="8" max="16384" width="10.83203125" style="2"/>
  </cols>
  <sheetData>
    <row r="1" spans="1:12" ht="32" customHeight="1" x14ac:dyDescent="0.35">
      <c r="A1" s="24" t="s">
        <v>364</v>
      </c>
      <c r="B1" s="25"/>
      <c r="C1" s="25"/>
      <c r="D1" s="25"/>
      <c r="E1" s="25"/>
      <c r="F1" s="25"/>
      <c r="G1" s="25"/>
      <c r="H1" s="21"/>
      <c r="I1" s="21"/>
      <c r="J1" s="21"/>
      <c r="K1" s="21"/>
      <c r="L1" s="21"/>
    </row>
    <row r="2" spans="1:12" ht="300" x14ac:dyDescent="0.35">
      <c r="A2" s="22" t="s">
        <v>365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8" t="s">
        <v>52</v>
      </c>
      <c r="B4" s="8" t="s">
        <v>366</v>
      </c>
      <c r="C4" s="3"/>
      <c r="D4" s="6" t="s">
        <v>5</v>
      </c>
      <c r="E4" s="6" t="s">
        <v>7</v>
      </c>
      <c r="F4" s="6" t="s">
        <v>368</v>
      </c>
      <c r="G4" s="6" t="s">
        <v>9</v>
      </c>
      <c r="H4" s="3"/>
      <c r="I4" s="3"/>
      <c r="J4" s="3"/>
      <c r="K4" s="3"/>
      <c r="L4" s="3"/>
    </row>
    <row r="5" spans="1:12" x14ac:dyDescent="0.35">
      <c r="A5" s="3" t="s">
        <v>56</v>
      </c>
      <c r="B5" s="5">
        <v>1200</v>
      </c>
      <c r="C5" s="3"/>
      <c r="D5" s="3" t="s">
        <v>369</v>
      </c>
      <c r="E5" s="7" t="s">
        <v>370</v>
      </c>
      <c r="F5" s="3" t="str" cm="1">
        <f t="array" ref="F5:F8">_xlfn.UNIQUE(A5:A10)</f>
        <v>North</v>
      </c>
      <c r="G5" s="3" t="s">
        <v>371</v>
      </c>
      <c r="H5" s="3"/>
      <c r="I5" s="3"/>
      <c r="J5" s="3"/>
      <c r="K5" s="3"/>
      <c r="L5" s="3"/>
    </row>
    <row r="6" spans="1:12" x14ac:dyDescent="0.35">
      <c r="A6" s="3" t="s">
        <v>59</v>
      </c>
      <c r="B6" s="5">
        <v>800</v>
      </c>
      <c r="C6" s="3"/>
      <c r="D6" s="3"/>
      <c r="E6" s="3"/>
      <c r="F6" s="3" t="str">
        <v>South</v>
      </c>
      <c r="G6" s="3"/>
      <c r="H6" s="3"/>
      <c r="I6" s="3"/>
      <c r="J6" s="3"/>
      <c r="K6" s="3"/>
      <c r="L6" s="3"/>
    </row>
    <row r="7" spans="1:12" x14ac:dyDescent="0.35">
      <c r="A7" s="3" t="s">
        <v>56</v>
      </c>
      <c r="B7" s="5">
        <v>1500</v>
      </c>
      <c r="C7" s="3"/>
      <c r="D7" s="3"/>
      <c r="E7" s="3"/>
      <c r="F7" s="3" t="str">
        <v>East</v>
      </c>
      <c r="G7" s="3"/>
      <c r="H7" s="3"/>
      <c r="I7" s="3"/>
      <c r="J7" s="3"/>
      <c r="K7" s="3"/>
      <c r="L7" s="3"/>
    </row>
    <row r="8" spans="1:12" x14ac:dyDescent="0.35">
      <c r="A8" s="3" t="s">
        <v>63</v>
      </c>
      <c r="B8" s="5">
        <v>600</v>
      </c>
      <c r="C8" s="3"/>
      <c r="D8" s="3"/>
      <c r="E8" s="3"/>
      <c r="F8" s="3" t="str">
        <v>West</v>
      </c>
      <c r="G8" s="3"/>
      <c r="H8" s="3"/>
      <c r="I8" s="3"/>
      <c r="J8" s="3"/>
      <c r="K8" s="3"/>
      <c r="L8" s="3"/>
    </row>
    <row r="9" spans="1:12" x14ac:dyDescent="0.35">
      <c r="A9" s="3" t="s">
        <v>59</v>
      </c>
      <c r="B9" s="5">
        <v>2100</v>
      </c>
      <c r="C9" s="3"/>
      <c r="D9" s="3" t="s">
        <v>372</v>
      </c>
      <c r="E9" s="7" t="s">
        <v>373</v>
      </c>
      <c r="F9" s="3" cm="1">
        <f t="array" ref="F9:F14">_xlfn._xlws.SORT(B5:B10,1,-1)</f>
        <v>2100</v>
      </c>
      <c r="G9" s="3" t="s">
        <v>374</v>
      </c>
      <c r="H9" s="3"/>
      <c r="I9" s="3"/>
      <c r="J9" s="3"/>
      <c r="K9" s="3"/>
      <c r="L9" s="3"/>
    </row>
    <row r="10" spans="1:12" x14ac:dyDescent="0.35">
      <c r="A10" s="3" t="s">
        <v>367</v>
      </c>
      <c r="B10" s="5">
        <v>950</v>
      </c>
      <c r="C10" s="3"/>
      <c r="D10" s="3"/>
      <c r="E10" s="3"/>
      <c r="F10" s="3">
        <v>1500</v>
      </c>
      <c r="G10" s="3"/>
      <c r="H10" s="3"/>
      <c r="I10" s="3"/>
      <c r="J10" s="3"/>
      <c r="K10" s="3"/>
      <c r="L10" s="3"/>
    </row>
    <row r="11" spans="1:12" x14ac:dyDescent="0.35">
      <c r="A11" s="3"/>
      <c r="B11" s="3"/>
      <c r="C11" s="3"/>
      <c r="D11" s="3"/>
      <c r="E11" s="3"/>
      <c r="F11" s="3">
        <v>1200</v>
      </c>
      <c r="G11" s="3"/>
      <c r="H11" s="3"/>
      <c r="I11" s="3"/>
      <c r="J11" s="3"/>
      <c r="K11" s="3"/>
      <c r="L11" s="3"/>
    </row>
    <row r="12" spans="1:12" x14ac:dyDescent="0.35">
      <c r="A12" s="3"/>
      <c r="B12" s="3"/>
      <c r="C12" s="3"/>
      <c r="D12" s="3"/>
      <c r="E12" s="3"/>
      <c r="F12" s="3">
        <v>950</v>
      </c>
      <c r="G12" s="3"/>
      <c r="H12" s="3"/>
      <c r="I12" s="3"/>
      <c r="J12" s="3"/>
      <c r="K12" s="3"/>
      <c r="L12" s="3"/>
    </row>
    <row r="13" spans="1:12" x14ac:dyDescent="0.35">
      <c r="A13" s="3"/>
      <c r="B13" s="3"/>
      <c r="C13" s="3"/>
      <c r="D13" s="3"/>
      <c r="E13" s="3"/>
      <c r="F13" s="3">
        <v>800</v>
      </c>
      <c r="G13" s="3"/>
      <c r="H13" s="3"/>
      <c r="I13" s="3"/>
      <c r="J13" s="3"/>
      <c r="K13" s="3"/>
      <c r="L13" s="3"/>
    </row>
    <row r="14" spans="1:12" x14ac:dyDescent="0.35">
      <c r="A14" s="3"/>
      <c r="B14" s="3"/>
      <c r="C14" s="3"/>
      <c r="D14" s="3"/>
      <c r="E14" s="3"/>
      <c r="F14" s="3">
        <v>600</v>
      </c>
      <c r="G14" s="3"/>
      <c r="H14" s="3"/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50" x14ac:dyDescent="0.35">
      <c r="A16" s="3"/>
      <c r="B16" s="3"/>
      <c r="C16" s="3"/>
      <c r="D16" s="3" t="s">
        <v>375</v>
      </c>
      <c r="E16" s="7" t="s">
        <v>376</v>
      </c>
      <c r="F16" s="3" cm="1">
        <f t="array" ref="F16:F17">_xlfn._xlws.FILTER(B5:B10,A5:A10="North")</f>
        <v>1200</v>
      </c>
      <c r="G16" s="3" t="s">
        <v>377</v>
      </c>
      <c r="H16" s="3"/>
      <c r="I16" s="3"/>
      <c r="J16" s="3"/>
      <c r="K16" s="3"/>
      <c r="L16" s="3"/>
    </row>
    <row r="17" spans="1:12" x14ac:dyDescent="0.35">
      <c r="A17" s="3"/>
      <c r="B17" s="3"/>
      <c r="C17" s="3"/>
      <c r="D17" s="3"/>
      <c r="E17" s="3"/>
      <c r="F17" s="3">
        <v>1500</v>
      </c>
      <c r="G17" s="3"/>
      <c r="H17" s="3"/>
      <c r="I17" s="3"/>
      <c r="J17" s="3"/>
      <c r="K17" s="3"/>
      <c r="L17" s="3"/>
    </row>
    <row r="18" spans="1:1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5">
      <c r="A19" s="3"/>
      <c r="B19" s="3"/>
      <c r="C19" s="3"/>
      <c r="D19" s="3" t="s">
        <v>378</v>
      </c>
      <c r="E19" s="7" t="s">
        <v>379</v>
      </c>
      <c r="F19" s="3" t="str" cm="1">
        <f t="array" ref="F19:F24">_xlfn.SORTBY(A5:A10,B5:B10,-1)</f>
        <v>South</v>
      </c>
      <c r="G19" s="3" t="s">
        <v>380</v>
      </c>
      <c r="H19" s="3"/>
      <c r="I19" s="3"/>
      <c r="J19" s="3"/>
      <c r="K19" s="3"/>
      <c r="L19" s="3"/>
    </row>
    <row r="20" spans="1:12" x14ac:dyDescent="0.35">
      <c r="A20" s="3"/>
      <c r="B20" s="3"/>
      <c r="C20" s="3"/>
      <c r="D20" s="3"/>
      <c r="E20" s="3"/>
      <c r="F20" s="3" t="str">
        <v>North</v>
      </c>
      <c r="G20" s="3"/>
      <c r="H20" s="3"/>
      <c r="I20" s="3"/>
      <c r="J20" s="3"/>
      <c r="K20" s="3"/>
      <c r="L20" s="3"/>
    </row>
    <row r="21" spans="1:12" x14ac:dyDescent="0.35">
      <c r="A21" s="3"/>
      <c r="B21" s="3"/>
      <c r="C21" s="3"/>
      <c r="D21" s="3"/>
      <c r="E21" s="3"/>
      <c r="F21" s="3" t="str">
        <v>North</v>
      </c>
      <c r="G21" s="3"/>
      <c r="H21" s="3"/>
      <c r="I21" s="3"/>
      <c r="J21" s="3"/>
      <c r="K21" s="3"/>
      <c r="L21" s="3"/>
    </row>
    <row r="22" spans="1:12" x14ac:dyDescent="0.35">
      <c r="A22" s="3"/>
      <c r="B22" s="3"/>
      <c r="C22" s="3"/>
      <c r="D22" s="3"/>
      <c r="E22" s="3"/>
      <c r="F22" s="3" t="str">
        <v>West</v>
      </c>
      <c r="G22" s="3"/>
      <c r="H22" s="3"/>
      <c r="I22" s="3"/>
      <c r="J22" s="3"/>
      <c r="K22" s="3"/>
      <c r="L22" s="3"/>
    </row>
    <row r="23" spans="1:12" x14ac:dyDescent="0.35">
      <c r="A23" s="3"/>
      <c r="B23" s="3"/>
      <c r="C23" s="3"/>
      <c r="D23" s="3"/>
      <c r="E23" s="3"/>
      <c r="F23" s="3" t="str">
        <v>South</v>
      </c>
      <c r="G23" s="3"/>
      <c r="H23" s="3"/>
      <c r="I23" s="3"/>
      <c r="J23" s="3"/>
      <c r="K23" s="3"/>
      <c r="L23" s="3"/>
    </row>
    <row r="24" spans="1:12" x14ac:dyDescent="0.35">
      <c r="A24" s="3"/>
      <c r="B24" s="3"/>
      <c r="C24" s="3"/>
      <c r="D24" s="3"/>
      <c r="E24" s="3"/>
      <c r="F24" s="3" t="str">
        <v>East</v>
      </c>
      <c r="G24" s="3"/>
      <c r="H24" s="3"/>
      <c r="I24" s="3"/>
      <c r="J24" s="3"/>
      <c r="K24" s="3"/>
      <c r="L24" s="3"/>
    </row>
    <row r="25" spans="1:1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5">
      <c r="A26" s="3"/>
      <c r="B26" s="3"/>
      <c r="C26" s="3"/>
      <c r="D26" s="3" t="s">
        <v>381</v>
      </c>
      <c r="E26" s="7" t="s">
        <v>382</v>
      </c>
      <c r="F26" s="3" cm="1">
        <f t="array" ref="F26:F30">_xlfn.SEQUENCE(5)</f>
        <v>1</v>
      </c>
      <c r="G26" s="3" t="s">
        <v>383</v>
      </c>
      <c r="H26" s="3"/>
      <c r="I26" s="3"/>
      <c r="J26" s="3"/>
      <c r="K26" s="3"/>
      <c r="L26" s="3"/>
    </row>
    <row r="27" spans="1:12" x14ac:dyDescent="0.35">
      <c r="A27" s="3"/>
      <c r="B27" s="3"/>
      <c r="C27" s="3"/>
      <c r="D27" s="3"/>
      <c r="E27" s="3"/>
      <c r="F27" s="3">
        <v>2</v>
      </c>
      <c r="G27" s="3"/>
      <c r="H27" s="3"/>
      <c r="I27" s="3"/>
      <c r="J27" s="3"/>
      <c r="K27" s="3"/>
      <c r="L27" s="3"/>
    </row>
    <row r="28" spans="1:12" x14ac:dyDescent="0.35">
      <c r="A28" s="3"/>
      <c r="B28" s="3"/>
      <c r="C28" s="3"/>
      <c r="D28" s="3"/>
      <c r="E28" s="3"/>
      <c r="F28" s="3">
        <v>3</v>
      </c>
      <c r="G28" s="3"/>
      <c r="H28" s="3"/>
      <c r="I28" s="3"/>
      <c r="J28" s="3"/>
      <c r="K28" s="3"/>
      <c r="L28" s="3"/>
    </row>
    <row r="29" spans="1:12" x14ac:dyDescent="0.35">
      <c r="A29" s="3"/>
      <c r="B29" s="3"/>
      <c r="C29" s="3"/>
      <c r="D29" s="3"/>
      <c r="E29" s="3"/>
      <c r="F29" s="3">
        <v>4</v>
      </c>
      <c r="G29" s="3"/>
      <c r="H29" s="3"/>
      <c r="I29" s="3"/>
      <c r="J29" s="3"/>
      <c r="K29" s="3"/>
      <c r="L29" s="3"/>
    </row>
    <row r="30" spans="1:12" x14ac:dyDescent="0.35">
      <c r="A30" s="3"/>
      <c r="B30" s="3"/>
      <c r="C30" s="3"/>
      <c r="D30" s="3"/>
      <c r="E30" s="3"/>
      <c r="F30" s="3">
        <v>5</v>
      </c>
      <c r="G30" s="3"/>
      <c r="H30" s="3"/>
      <c r="I30" s="3"/>
      <c r="J30" s="3"/>
      <c r="K30" s="3"/>
      <c r="L30" s="3"/>
    </row>
    <row r="31" spans="1:1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50" x14ac:dyDescent="0.35">
      <c r="A32" s="3"/>
      <c r="B32" s="3"/>
      <c r="C32" s="3"/>
      <c r="D32" s="3" t="s">
        <v>384</v>
      </c>
      <c r="E32" s="7" t="s">
        <v>385</v>
      </c>
      <c r="F32" s="19">
        <f>_xlfn.LET(_xlpm.t,SUM(B5:B10),_xlpm.t/COUNT(B5:B10))</f>
        <v>1191.6666666666667</v>
      </c>
      <c r="G32" s="3" t="s">
        <v>386</v>
      </c>
      <c r="H32" s="3"/>
      <c r="I32" s="3"/>
      <c r="J32" s="3"/>
      <c r="K32" s="3"/>
      <c r="L32" s="3"/>
    </row>
    <row r="33" spans="1:12" x14ac:dyDescent="0.35">
      <c r="A33" s="3"/>
      <c r="B33" s="3"/>
      <c r="C33" s="3"/>
      <c r="D33" s="3" t="s">
        <v>387</v>
      </c>
      <c r="E33" s="7" t="s">
        <v>388</v>
      </c>
      <c r="F33" s="3" cm="1">
        <f t="array" ref="F33">_xlfn.LAMBDA(_xlpm.x,_xlpm.x*1.2)(B5)</f>
        <v>1440</v>
      </c>
      <c r="G33" s="3" t="s">
        <v>389</v>
      </c>
      <c r="H33" s="3"/>
      <c r="I33" s="3"/>
      <c r="J33" s="3"/>
      <c r="K33" s="3"/>
      <c r="L33" s="3"/>
    </row>
    <row r="34" spans="1:12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5">
      <c r="A35" s="3"/>
      <c r="B35" s="3"/>
      <c r="C35" s="3"/>
      <c r="D35" s="3" t="s">
        <v>475</v>
      </c>
      <c r="E35" s="7" t="s">
        <v>476</v>
      </c>
      <c r="F35" s="3" cm="1">
        <f t="array" ref="F35:F37">_xlfn.TAKE(B5:B10,3)</f>
        <v>1200</v>
      </c>
      <c r="G35" s="3" t="s">
        <v>477</v>
      </c>
      <c r="H35" s="3"/>
      <c r="I35" s="3"/>
      <c r="J35" s="3"/>
      <c r="K35" s="3"/>
      <c r="L35" s="3"/>
    </row>
    <row r="36" spans="1:12" x14ac:dyDescent="0.35">
      <c r="A36" s="3"/>
      <c r="B36" s="3"/>
      <c r="C36" s="3"/>
      <c r="D36" s="3"/>
      <c r="E36" s="3"/>
      <c r="F36" s="3">
        <v>800</v>
      </c>
      <c r="G36" s="3"/>
      <c r="H36" s="3"/>
      <c r="I36" s="3"/>
      <c r="J36" s="3"/>
      <c r="K36" s="3"/>
      <c r="L36" s="3"/>
    </row>
    <row r="37" spans="1:12" x14ac:dyDescent="0.35">
      <c r="A37" s="3"/>
      <c r="B37" s="3"/>
      <c r="C37" s="3"/>
      <c r="D37" s="3"/>
      <c r="E37" s="3"/>
      <c r="F37" s="3">
        <v>1500</v>
      </c>
      <c r="G37" s="3"/>
      <c r="H37" s="3"/>
      <c r="I37" s="3"/>
      <c r="J37" s="3"/>
      <c r="K37" s="3"/>
      <c r="L37" s="3"/>
    </row>
    <row r="38" spans="1:12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5">
      <c r="A39" s="3"/>
      <c r="B39" s="3"/>
      <c r="C39" s="3"/>
      <c r="D39" s="3" t="s">
        <v>478</v>
      </c>
      <c r="E39" s="7" t="s">
        <v>479</v>
      </c>
      <c r="F39" s="3" cm="1">
        <f t="array" ref="F39:F41">_xlfn.DROP(B5:B10,3)</f>
        <v>600</v>
      </c>
      <c r="G39" s="3" t="s">
        <v>480</v>
      </c>
      <c r="H39" s="3"/>
      <c r="I39" s="3"/>
      <c r="J39" s="3"/>
      <c r="K39" s="3"/>
      <c r="L39" s="3"/>
    </row>
    <row r="40" spans="1:12" x14ac:dyDescent="0.35">
      <c r="A40" s="3"/>
      <c r="B40" s="3"/>
      <c r="C40" s="3"/>
      <c r="D40" s="3"/>
      <c r="E40" s="3"/>
      <c r="F40" s="3">
        <v>2100</v>
      </c>
      <c r="G40" s="3"/>
      <c r="H40" s="3"/>
      <c r="I40" s="3"/>
      <c r="J40" s="3"/>
      <c r="K40" s="3"/>
      <c r="L40" s="3"/>
    </row>
    <row r="41" spans="1:12" x14ac:dyDescent="0.35">
      <c r="A41" s="3"/>
      <c r="B41" s="3"/>
      <c r="C41" s="3"/>
      <c r="D41" s="3"/>
      <c r="E41" s="3"/>
      <c r="F41" s="3">
        <v>950</v>
      </c>
      <c r="G41" s="3"/>
      <c r="H41" s="3"/>
      <c r="I41" s="3"/>
      <c r="J41" s="3"/>
      <c r="K41" s="3"/>
      <c r="L41" s="3"/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C4C1-E3A3-8745-B794-DB4768EFA2DF}">
  <sheetPr>
    <tabColor rgb="FF806000"/>
  </sheetPr>
  <dimension ref="A1:E19"/>
  <sheetViews>
    <sheetView workbookViewId="0">
      <pane ySplit="10" topLeftCell="A11" activePane="bottomLeft" state="frozen"/>
      <selection pane="bottomLeft" activeCell="B28" sqref="B28"/>
    </sheetView>
  </sheetViews>
  <sheetFormatPr baseColWidth="10" defaultColWidth="51.5" defaultRowHeight="29" x14ac:dyDescent="0.35"/>
  <cols>
    <col min="1" max="1" width="51.5" style="2"/>
    <col min="2" max="2" width="19.33203125" style="2" customWidth="1"/>
    <col min="3" max="3" width="36" style="2" customWidth="1"/>
    <col min="4" max="16384" width="51.5" style="2"/>
  </cols>
  <sheetData>
    <row r="1" spans="1:5" ht="32" customHeight="1" x14ac:dyDescent="0.35">
      <c r="A1" s="24" t="s">
        <v>390</v>
      </c>
      <c r="B1" s="25"/>
      <c r="C1" s="25"/>
      <c r="D1" s="25"/>
      <c r="E1" s="25"/>
    </row>
    <row r="2" spans="1:5" x14ac:dyDescent="0.35">
      <c r="A2" s="3"/>
      <c r="B2" s="3"/>
      <c r="C2" s="3"/>
      <c r="D2" s="3"/>
      <c r="E2" s="3"/>
    </row>
    <row r="3" spans="1:5" x14ac:dyDescent="0.35">
      <c r="A3" s="4" t="s">
        <v>1</v>
      </c>
      <c r="B3" s="3"/>
      <c r="C3" s="3"/>
      <c r="D3" s="3"/>
      <c r="E3" s="3"/>
    </row>
    <row r="4" spans="1:5" x14ac:dyDescent="0.35">
      <c r="A4" s="3" t="s">
        <v>391</v>
      </c>
      <c r="B4" s="5">
        <v>250</v>
      </c>
      <c r="C4" s="3"/>
      <c r="D4" s="3"/>
      <c r="E4" s="3"/>
    </row>
    <row r="5" spans="1:5" x14ac:dyDescent="0.35">
      <c r="A5" s="3" t="s">
        <v>392</v>
      </c>
      <c r="B5" s="5">
        <v>0</v>
      </c>
      <c r="C5" s="3"/>
      <c r="D5" s="3"/>
      <c r="E5" s="3"/>
    </row>
    <row r="6" spans="1:5" x14ac:dyDescent="0.35">
      <c r="A6" s="3" t="s">
        <v>393</v>
      </c>
      <c r="B6" s="5" t="s">
        <v>394</v>
      </c>
      <c r="C6" s="3"/>
      <c r="D6" s="3"/>
      <c r="E6" s="3"/>
    </row>
    <row r="7" spans="1:5" x14ac:dyDescent="0.35">
      <c r="A7" s="3" t="s">
        <v>395</v>
      </c>
      <c r="B7" s="3"/>
      <c r="C7" s="3"/>
      <c r="D7" s="3"/>
      <c r="E7" s="3"/>
    </row>
    <row r="8" spans="1:5" x14ac:dyDescent="0.35">
      <c r="A8" s="3" t="s">
        <v>396</v>
      </c>
      <c r="B8" s="5">
        <v>100</v>
      </c>
      <c r="C8" s="5">
        <v>200</v>
      </c>
      <c r="D8" s="5">
        <v>300</v>
      </c>
      <c r="E8" s="5">
        <v>400</v>
      </c>
    </row>
    <row r="9" spans="1:5" x14ac:dyDescent="0.35">
      <c r="A9" s="3"/>
      <c r="B9" s="3"/>
      <c r="C9" s="3"/>
      <c r="D9" s="3"/>
      <c r="E9" s="3"/>
    </row>
    <row r="10" spans="1:5" x14ac:dyDescent="0.35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 ht="50" x14ac:dyDescent="0.35">
      <c r="A11" s="3" t="s">
        <v>397</v>
      </c>
      <c r="B11" s="7" t="s">
        <v>398</v>
      </c>
      <c r="C11" s="7" t="s">
        <v>399</v>
      </c>
      <c r="D11" s="3" t="b">
        <f>ISERROR(B4/B5)</f>
        <v>1</v>
      </c>
      <c r="E11" s="3" t="s">
        <v>400</v>
      </c>
    </row>
    <row r="12" spans="1:5" ht="50" x14ac:dyDescent="0.35">
      <c r="A12" s="3" t="s">
        <v>401</v>
      </c>
      <c r="B12" s="7" t="s">
        <v>402</v>
      </c>
      <c r="C12" s="7" t="s">
        <v>403</v>
      </c>
      <c r="D12" s="3" t="b">
        <f>ISNUMBER(B4)</f>
        <v>1</v>
      </c>
      <c r="E12" s="3" t="s">
        <v>404</v>
      </c>
    </row>
    <row r="13" spans="1:5" x14ac:dyDescent="0.35">
      <c r="A13" s="3" t="s">
        <v>405</v>
      </c>
      <c r="B13" s="7" t="s">
        <v>406</v>
      </c>
      <c r="C13" s="7" t="s">
        <v>407</v>
      </c>
      <c r="D13" s="3" t="b">
        <f>ISTEXT(B6)</f>
        <v>1</v>
      </c>
      <c r="E13" s="3" t="s">
        <v>408</v>
      </c>
    </row>
    <row r="14" spans="1:5" ht="50" x14ac:dyDescent="0.35">
      <c r="A14" s="3" t="s">
        <v>409</v>
      </c>
      <c r="B14" s="7" t="s">
        <v>410</v>
      </c>
      <c r="C14" s="7" t="s">
        <v>411</v>
      </c>
      <c r="D14" s="3" t="b">
        <f>ISBLANK(B7)</f>
        <v>1</v>
      </c>
      <c r="E14" s="3" t="s">
        <v>412</v>
      </c>
    </row>
    <row r="15" spans="1:5" x14ac:dyDescent="0.35">
      <c r="A15" s="3" t="s">
        <v>413</v>
      </c>
      <c r="B15" s="7" t="s">
        <v>414</v>
      </c>
      <c r="C15" s="7" t="s">
        <v>415</v>
      </c>
      <c r="D15" s="3" t="b">
        <f>ISNA(NA())</f>
        <v>1</v>
      </c>
      <c r="E15" s="3" t="s">
        <v>416</v>
      </c>
    </row>
    <row r="16" spans="1:5" x14ac:dyDescent="0.35">
      <c r="A16" s="3" t="s">
        <v>417</v>
      </c>
      <c r="B16" s="7" t="s">
        <v>418</v>
      </c>
      <c r="C16" s="7" t="s">
        <v>418</v>
      </c>
      <c r="D16" s="3" t="str">
        <f>IFERROR(NA(),"#N/A returned")</f>
        <v>#N/A returned</v>
      </c>
      <c r="E16" s="3" t="s">
        <v>419</v>
      </c>
    </row>
    <row r="17" spans="1:5" ht="50" x14ac:dyDescent="0.35">
      <c r="A17" s="3" t="s">
        <v>80</v>
      </c>
      <c r="B17" s="7" t="s">
        <v>420</v>
      </c>
      <c r="C17" s="7" t="s">
        <v>421</v>
      </c>
      <c r="D17" s="3" t="str">
        <f>IFERROR(B4/B5,"div by zero")</f>
        <v>div by zero</v>
      </c>
      <c r="E17" s="3" t="s">
        <v>422</v>
      </c>
    </row>
    <row r="18" spans="1:5" ht="75" x14ac:dyDescent="0.35">
      <c r="A18" s="3" t="s">
        <v>423</v>
      </c>
      <c r="B18" s="7" t="s">
        <v>424</v>
      </c>
      <c r="C18" s="7" t="s">
        <v>425</v>
      </c>
      <c r="D18" s="3">
        <f>_xlfn.AGGREGATE(9,6,B8:E8)</f>
        <v>1000</v>
      </c>
      <c r="E18" s="3" t="s">
        <v>426</v>
      </c>
    </row>
    <row r="19" spans="1:5" ht="50" x14ac:dyDescent="0.35">
      <c r="A19" s="3" t="s">
        <v>427</v>
      </c>
      <c r="B19" s="7" t="s">
        <v>428</v>
      </c>
      <c r="C19" s="7" t="s">
        <v>429</v>
      </c>
      <c r="D19" s="3">
        <f>SUBTOTAL(9,B8:E8)</f>
        <v>1000</v>
      </c>
      <c r="E19" s="3" t="s">
        <v>430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B165-4473-2148-BB4F-9C167F6542BA}">
  <sheetPr>
    <tabColor rgb="FF843C0C"/>
  </sheetPr>
  <dimension ref="A1:F18"/>
  <sheetViews>
    <sheetView workbookViewId="0">
      <pane ySplit="8" topLeftCell="A9" activePane="bottomLeft" state="frozen"/>
      <selection pane="bottomLeft" activeCell="B28" sqref="B28"/>
    </sheetView>
  </sheetViews>
  <sheetFormatPr baseColWidth="10" defaultColWidth="30.83203125" defaultRowHeight="29" x14ac:dyDescent="0.35"/>
  <cols>
    <col min="1" max="16384" width="30.83203125" style="2"/>
  </cols>
  <sheetData>
    <row r="1" spans="1:6" ht="32" customHeight="1" x14ac:dyDescent="0.35">
      <c r="A1" s="24" t="s">
        <v>431</v>
      </c>
      <c r="B1" s="25"/>
      <c r="C1" s="25"/>
      <c r="D1" s="25"/>
      <c r="E1" s="25"/>
      <c r="F1" s="21"/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4" t="s">
        <v>1</v>
      </c>
      <c r="B3" s="3"/>
      <c r="C3" s="3"/>
      <c r="D3" s="3"/>
      <c r="E3" s="3"/>
      <c r="F3" s="3"/>
    </row>
    <row r="4" spans="1:6" x14ac:dyDescent="0.35">
      <c r="A4" s="3" t="s">
        <v>432</v>
      </c>
      <c r="B4" s="5">
        <v>47.3</v>
      </c>
      <c r="C4" s="3"/>
      <c r="D4" s="3"/>
      <c r="E4" s="3"/>
      <c r="F4" s="3"/>
    </row>
    <row r="5" spans="1:6" x14ac:dyDescent="0.35">
      <c r="A5" s="3" t="s">
        <v>433</v>
      </c>
      <c r="B5" s="5">
        <v>8</v>
      </c>
      <c r="C5" s="3"/>
      <c r="D5" s="3"/>
      <c r="E5" s="3"/>
      <c r="F5" s="3"/>
    </row>
    <row r="6" spans="1:6" x14ac:dyDescent="0.35">
      <c r="A6" s="3" t="s">
        <v>434</v>
      </c>
      <c r="B6" s="5">
        <v>3</v>
      </c>
      <c r="C6" s="3"/>
      <c r="D6" s="3"/>
      <c r="E6" s="3"/>
      <c r="F6" s="3"/>
    </row>
    <row r="7" spans="1:6" x14ac:dyDescent="0.35">
      <c r="A7" s="3"/>
      <c r="B7" s="3"/>
      <c r="C7" s="3"/>
      <c r="D7" s="3"/>
      <c r="E7" s="3"/>
      <c r="F7" s="3"/>
    </row>
    <row r="8" spans="1:6" x14ac:dyDescent="0.35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3"/>
    </row>
    <row r="9" spans="1:6" ht="50" x14ac:dyDescent="0.35">
      <c r="A9" s="3" t="s">
        <v>435</v>
      </c>
      <c r="B9" s="7" t="s">
        <v>436</v>
      </c>
      <c r="C9" s="7" t="s">
        <v>437</v>
      </c>
      <c r="D9" s="3">
        <f>MROUND(B4,5)</f>
        <v>45</v>
      </c>
      <c r="E9" s="3" t="s">
        <v>438</v>
      </c>
      <c r="F9" s="3"/>
    </row>
    <row r="10" spans="1:6" ht="50" x14ac:dyDescent="0.35">
      <c r="A10" s="3" t="s">
        <v>439</v>
      </c>
      <c r="B10" s="7" t="s">
        <v>440</v>
      </c>
      <c r="C10" s="7" t="s">
        <v>441</v>
      </c>
      <c r="D10" s="3">
        <f>CEILING(B4,10)</f>
        <v>50</v>
      </c>
      <c r="E10" s="3" t="s">
        <v>442</v>
      </c>
      <c r="F10" s="3"/>
    </row>
    <row r="11" spans="1:6" ht="50" x14ac:dyDescent="0.35">
      <c r="A11" s="3" t="s">
        <v>443</v>
      </c>
      <c r="B11" s="7" t="s">
        <v>444</v>
      </c>
      <c r="C11" s="7" t="s">
        <v>445</v>
      </c>
      <c r="D11" s="3">
        <f>FLOOR(B4,10)</f>
        <v>40</v>
      </c>
      <c r="E11" s="3" t="s">
        <v>446</v>
      </c>
      <c r="F11" s="3"/>
    </row>
    <row r="12" spans="1:6" ht="50" x14ac:dyDescent="0.35">
      <c r="A12" s="3" t="s">
        <v>447</v>
      </c>
      <c r="B12" s="7" t="s">
        <v>448</v>
      </c>
      <c r="C12" s="7" t="s">
        <v>449</v>
      </c>
      <c r="D12" s="3">
        <f>INT(B4)</f>
        <v>47</v>
      </c>
      <c r="E12" s="3" t="s">
        <v>450</v>
      </c>
      <c r="F12" s="3"/>
    </row>
    <row r="13" spans="1:6" x14ac:dyDescent="0.35">
      <c r="A13" s="3" t="s">
        <v>451</v>
      </c>
      <c r="B13" s="7" t="s">
        <v>452</v>
      </c>
      <c r="C13" s="7" t="s">
        <v>453</v>
      </c>
      <c r="D13" s="19">
        <f>MOD(B4,5)</f>
        <v>2.2999999999999972</v>
      </c>
      <c r="E13" s="3" t="s">
        <v>454</v>
      </c>
      <c r="F13" s="3"/>
    </row>
    <row r="14" spans="1:6" ht="50" x14ac:dyDescent="0.35">
      <c r="A14" s="3" t="s">
        <v>455</v>
      </c>
      <c r="B14" s="7" t="s">
        <v>456</v>
      </c>
      <c r="C14" s="7" t="s">
        <v>457</v>
      </c>
      <c r="D14" s="3">
        <f>POWER(B5,B6)</f>
        <v>512</v>
      </c>
      <c r="E14" s="3" t="s">
        <v>458</v>
      </c>
      <c r="F14" s="3"/>
    </row>
    <row r="15" spans="1:6" x14ac:dyDescent="0.35">
      <c r="A15" s="3" t="s">
        <v>459</v>
      </c>
      <c r="B15" s="7" t="s">
        <v>460</v>
      </c>
      <c r="C15" s="7" t="s">
        <v>461</v>
      </c>
      <c r="D15" s="20">
        <f>SQRT(B5)</f>
        <v>2.8284271247461903</v>
      </c>
      <c r="E15" s="3" t="s">
        <v>462</v>
      </c>
      <c r="F15" s="3"/>
    </row>
    <row r="16" spans="1:6" ht="50" x14ac:dyDescent="0.35">
      <c r="A16" s="3" t="s">
        <v>463</v>
      </c>
      <c r="B16" s="7" t="s">
        <v>464</v>
      </c>
      <c r="C16" s="7" t="s">
        <v>465</v>
      </c>
      <c r="D16" s="3">
        <f ca="1">RANDBETWEEN(1,100)</f>
        <v>4</v>
      </c>
      <c r="E16" s="3" t="s">
        <v>466</v>
      </c>
      <c r="F16" s="3"/>
    </row>
    <row r="17" spans="1:6" x14ac:dyDescent="0.35">
      <c r="A17" s="3" t="s">
        <v>467</v>
      </c>
      <c r="B17" s="7" t="s">
        <v>468</v>
      </c>
      <c r="C17" s="7" t="s">
        <v>469</v>
      </c>
      <c r="D17" s="3">
        <f>SUMSQ(B5,B6)</f>
        <v>73</v>
      </c>
      <c r="E17" s="3" t="s">
        <v>470</v>
      </c>
      <c r="F17" s="3"/>
    </row>
    <row r="18" spans="1:6" ht="50" x14ac:dyDescent="0.35">
      <c r="A18" s="3" t="s">
        <v>471</v>
      </c>
      <c r="B18" s="7" t="s">
        <v>472</v>
      </c>
      <c r="C18" s="7" t="s">
        <v>473</v>
      </c>
      <c r="D18" s="3">
        <f>GCD(24,B5)</f>
        <v>8</v>
      </c>
      <c r="E18" s="3" t="s">
        <v>474</v>
      </c>
      <c r="F18" s="3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858E-0A08-264C-B4E8-4D92A992CFA1}">
  <sheetPr>
    <tabColor rgb="FF525252"/>
  </sheetPr>
  <dimension ref="A1:E18"/>
  <sheetViews>
    <sheetView workbookViewId="0">
      <pane ySplit="8" topLeftCell="A9" activePane="bottomLeft" state="frozen"/>
      <selection pane="bottomLeft" activeCell="F31" sqref="F31"/>
    </sheetView>
  </sheetViews>
  <sheetFormatPr baseColWidth="10" defaultRowHeight="16" x14ac:dyDescent="0.2"/>
  <cols>
    <col min="1" max="1" width="18.33203125" customWidth="1"/>
    <col min="2" max="2" width="38.33203125" customWidth="1"/>
    <col min="3" max="3" width="41.6640625" customWidth="1"/>
    <col min="4" max="4" width="15" customWidth="1"/>
    <col min="5" max="5" width="50" customWidth="1"/>
  </cols>
  <sheetData>
    <row r="1" spans="1:5" ht="32" customHeight="1" x14ac:dyDescent="0.2">
      <c r="A1" s="24" t="s">
        <v>525</v>
      </c>
      <c r="B1" s="25"/>
      <c r="C1" s="25"/>
      <c r="D1" s="25"/>
      <c r="E1" s="25"/>
    </row>
    <row r="2" spans="1:5" ht="24" x14ac:dyDescent="0.2">
      <c r="A2" s="3"/>
      <c r="B2" s="3"/>
      <c r="C2" s="3"/>
      <c r="D2" s="3"/>
      <c r="E2" s="3"/>
    </row>
    <row r="3" spans="1:5" ht="25" x14ac:dyDescent="0.2">
      <c r="A3" s="4" t="s">
        <v>1</v>
      </c>
      <c r="B3" s="3"/>
      <c r="C3" s="3"/>
      <c r="D3" s="3"/>
      <c r="E3" s="3"/>
    </row>
    <row r="4" spans="1:5" ht="25" x14ac:dyDescent="0.2">
      <c r="A4" s="3" t="s">
        <v>315</v>
      </c>
      <c r="B4" s="5">
        <v>1234.5</v>
      </c>
      <c r="C4" s="3"/>
      <c r="D4" s="3"/>
      <c r="E4" s="3"/>
    </row>
    <row r="5" spans="1:5" ht="25" x14ac:dyDescent="0.2">
      <c r="A5" s="3" t="s">
        <v>393</v>
      </c>
      <c r="B5" s="5" t="s">
        <v>526</v>
      </c>
      <c r="C5" s="3"/>
      <c r="D5" s="3"/>
      <c r="E5" s="3"/>
    </row>
    <row r="6" spans="1:5" ht="25" x14ac:dyDescent="0.2">
      <c r="A6" s="3" t="s">
        <v>527</v>
      </c>
      <c r="B6" s="3">
        <f>B4*2</f>
        <v>2469</v>
      </c>
      <c r="C6" s="3"/>
      <c r="D6" s="3"/>
      <c r="E6" s="3"/>
    </row>
    <row r="7" spans="1:5" ht="24" x14ac:dyDescent="0.2">
      <c r="A7" s="3"/>
      <c r="B7" s="3"/>
      <c r="C7" s="3"/>
      <c r="D7" s="3"/>
      <c r="E7" s="3"/>
    </row>
    <row r="8" spans="1:5" ht="25" x14ac:dyDescent="0.2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</row>
    <row r="9" spans="1:5" ht="25" x14ac:dyDescent="0.2">
      <c r="A9" s="3" t="s">
        <v>528</v>
      </c>
      <c r="B9" s="7" t="s">
        <v>529</v>
      </c>
      <c r="C9" s="7" t="s">
        <v>530</v>
      </c>
      <c r="D9" s="3" t="str" cm="1">
        <f t="array" aca="1" ref="D9" ca="1">CELL("type",B5)</f>
        <v>l</v>
      </c>
      <c r="E9" s="3" t="s">
        <v>531</v>
      </c>
    </row>
    <row r="10" spans="1:5" ht="25" x14ac:dyDescent="0.2">
      <c r="A10" s="3" t="s">
        <v>532</v>
      </c>
      <c r="B10" s="7" t="s">
        <v>533</v>
      </c>
      <c r="C10" s="7" t="s">
        <v>534</v>
      </c>
      <c r="D10" s="3">
        <f>TYPE(B4)</f>
        <v>1</v>
      </c>
      <c r="E10" s="3" t="s">
        <v>535</v>
      </c>
    </row>
    <row r="11" spans="1:5" ht="25" x14ac:dyDescent="0.2">
      <c r="A11" s="3" t="s">
        <v>536</v>
      </c>
      <c r="B11" s="7" t="s">
        <v>537</v>
      </c>
      <c r="C11" s="7" t="s">
        <v>538</v>
      </c>
      <c r="D11" s="3">
        <f ca="1">_xlfn.SHEET(A1)</f>
        <v>12</v>
      </c>
      <c r="E11" s="3" t="s">
        <v>539</v>
      </c>
    </row>
    <row r="12" spans="1:5" ht="25" x14ac:dyDescent="0.2">
      <c r="A12" s="3" t="s">
        <v>540</v>
      </c>
      <c r="B12" s="7" t="s">
        <v>541</v>
      </c>
      <c r="C12" s="7" t="s">
        <v>541</v>
      </c>
      <c r="D12" s="3">
        <f ca="1">_xlfn.SHEETS()</f>
        <v>12</v>
      </c>
      <c r="E12" s="3" t="s">
        <v>542</v>
      </c>
    </row>
    <row r="13" spans="1:5" ht="25" x14ac:dyDescent="0.2">
      <c r="A13" s="3" t="s">
        <v>543</v>
      </c>
      <c r="B13" s="7" t="s">
        <v>544</v>
      </c>
      <c r="C13" s="7" t="s">
        <v>545</v>
      </c>
      <c r="D13" s="3">
        <f>ROW(B13)</f>
        <v>13</v>
      </c>
      <c r="E13" s="3" t="s">
        <v>546</v>
      </c>
    </row>
    <row r="14" spans="1:5" ht="25" x14ac:dyDescent="0.2">
      <c r="A14" s="3" t="s">
        <v>547</v>
      </c>
      <c r="B14" s="7" t="s">
        <v>548</v>
      </c>
      <c r="C14" s="7" t="s">
        <v>549</v>
      </c>
      <c r="D14" s="3">
        <f>COLUMN(B14)</f>
        <v>2</v>
      </c>
      <c r="E14" s="3" t="s">
        <v>550</v>
      </c>
    </row>
    <row r="15" spans="1:5" ht="25" x14ac:dyDescent="0.2">
      <c r="A15" s="3" t="s">
        <v>551</v>
      </c>
      <c r="B15" s="7" t="s">
        <v>552</v>
      </c>
      <c r="C15" s="7" t="s">
        <v>553</v>
      </c>
      <c r="D15" s="3" t="b">
        <f>_xlfn.ISFORMULA(B6)</f>
        <v>1</v>
      </c>
      <c r="E15" s="3" t="s">
        <v>554</v>
      </c>
    </row>
    <row r="16" spans="1:5" ht="25" x14ac:dyDescent="0.2">
      <c r="A16" s="3" t="s">
        <v>555</v>
      </c>
      <c r="B16" s="7" t="s">
        <v>556</v>
      </c>
      <c r="C16" s="7" t="s">
        <v>565</v>
      </c>
      <c r="D16" s="3" t="b">
        <f>ISEVEN(B4)</f>
        <v>1</v>
      </c>
      <c r="E16" s="3" t="s">
        <v>557</v>
      </c>
    </row>
    <row r="17" spans="1:5" ht="25" x14ac:dyDescent="0.2">
      <c r="A17" s="3" t="s">
        <v>558</v>
      </c>
      <c r="B17" s="7" t="s">
        <v>559</v>
      </c>
      <c r="C17" s="7" t="s">
        <v>566</v>
      </c>
      <c r="D17" s="3" t="b">
        <f>ISODD(B4)</f>
        <v>0</v>
      </c>
      <c r="E17" s="3" t="s">
        <v>560</v>
      </c>
    </row>
    <row r="18" spans="1:5" ht="25" x14ac:dyDescent="0.2">
      <c r="A18" s="3" t="s">
        <v>561</v>
      </c>
      <c r="B18" s="7" t="s">
        <v>562</v>
      </c>
      <c r="C18" s="7" t="s">
        <v>563</v>
      </c>
      <c r="D18" s="3">
        <f>N(B4)</f>
        <v>1234.5</v>
      </c>
      <c r="E18" s="3" t="s">
        <v>564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Core Math</vt:lpstr>
      <vt:lpstr>Conditional Analysis</vt:lpstr>
      <vt:lpstr>Lookup &amp; Reference</vt:lpstr>
      <vt:lpstr>Date &amp; Time</vt:lpstr>
      <vt:lpstr>Financial Modeling</vt:lpstr>
      <vt:lpstr>Statistical</vt:lpstr>
      <vt:lpstr>Text</vt:lpstr>
      <vt:lpstr>Dynamic Arrays</vt:lpstr>
      <vt:lpstr>Error &amp; Info</vt:lpstr>
      <vt:lpstr>Math Extras</vt:lpstr>
      <vt:lpstr>Information &amp; 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 Vaidyanathan</dc:creator>
  <cp:lastModifiedBy>Ravichandran Vaidyanathan</cp:lastModifiedBy>
  <dcterms:created xsi:type="dcterms:W3CDTF">2026-06-01T22:56:23Z</dcterms:created>
  <dcterms:modified xsi:type="dcterms:W3CDTF">2026-06-02T00:17:27Z</dcterms:modified>
</cp:coreProperties>
</file>